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ubert\Desktop\Docs\Article 1\"/>
    </mc:Choice>
  </mc:AlternateContent>
  <xr:revisionPtr revIDLastSave="0" documentId="13_ncr:1_{02A1C500-BC53-4667-8F4A-D247902DF2DB}" xr6:coauthVersionLast="36" xr6:coauthVersionMax="36" xr10:uidLastSave="{00000000-0000-0000-0000-000000000000}"/>
  <bookViews>
    <workbookView xWindow="0" yWindow="0" windowWidth="19200" windowHeight="7520" xr2:uid="{3156DA48-61BA-44E6-8867-374FA750ACEF}"/>
  </bookViews>
  <sheets>
    <sheet name="Feuil7" sheetId="9" r:id="rId1"/>
    <sheet name="Feuil1" sheetId="1" r:id="rId2"/>
    <sheet name="Feuil2" sheetId="2" r:id="rId3"/>
    <sheet name="Feuil3" sheetId="5" r:id="rId4"/>
    <sheet name="Feuil4" sheetId="6" r:id="rId5"/>
    <sheet name="Feuil5" sheetId="7" r:id="rId6"/>
    <sheet name="Feuil6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9" l="1"/>
  <c r="G15" i="9"/>
  <c r="G16" i="9"/>
  <c r="G17" i="9"/>
  <c r="G18" i="9"/>
  <c r="G19" i="9"/>
  <c r="G20" i="9"/>
  <c r="G21" i="9"/>
  <c r="G14" i="9"/>
  <c r="B21" i="9"/>
  <c r="B20" i="9"/>
  <c r="B19" i="9"/>
  <c r="B18" i="9"/>
  <c r="B17" i="9"/>
  <c r="B16" i="9"/>
  <c r="B15" i="9"/>
  <c r="B14" i="9"/>
  <c r="G2" i="9" l="1"/>
  <c r="H10" i="9"/>
  <c r="G10" i="9"/>
  <c r="H3" i="9"/>
  <c r="H4" i="9"/>
  <c r="H5" i="9"/>
  <c r="H6" i="9"/>
  <c r="H7" i="9"/>
  <c r="I7" i="9" s="1"/>
  <c r="H8" i="9"/>
  <c r="H9" i="9"/>
  <c r="G3" i="9"/>
  <c r="G4" i="9"/>
  <c r="G5" i="9"/>
  <c r="G6" i="9"/>
  <c r="G7" i="9"/>
  <c r="G8" i="9"/>
  <c r="G9" i="9"/>
  <c r="I9" i="9" s="1"/>
  <c r="H2" i="9"/>
  <c r="I2" i="9"/>
  <c r="I5" i="9"/>
  <c r="I6" i="9"/>
  <c r="I10" i="9" l="1"/>
  <c r="I8" i="9"/>
  <c r="I4" i="9"/>
  <c r="I3" i="9"/>
  <c r="B3" i="9"/>
  <c r="B4" i="9"/>
  <c r="B5" i="9"/>
  <c r="B6" i="9"/>
  <c r="B7" i="9"/>
  <c r="B8" i="9"/>
  <c r="B9" i="9"/>
  <c r="B2" i="9"/>
  <c r="F51" i="1" l="1"/>
  <c r="D51" i="1"/>
  <c r="C51" i="1"/>
  <c r="B51" i="1"/>
  <c r="F40" i="1" l="1"/>
  <c r="C42" i="1"/>
  <c r="D42" i="1"/>
  <c r="C43" i="1"/>
  <c r="D43" i="1"/>
  <c r="C44" i="1"/>
  <c r="D44" i="1"/>
  <c r="C45" i="1"/>
  <c r="D45" i="1"/>
  <c r="C46" i="1"/>
  <c r="D46" i="1"/>
  <c r="B43" i="1"/>
  <c r="B44" i="1"/>
  <c r="B45" i="1"/>
  <c r="B46" i="1"/>
  <c r="B42" i="1"/>
  <c r="E40" i="1"/>
  <c r="D40" i="1"/>
  <c r="C40" i="1"/>
  <c r="B40" i="1"/>
  <c r="G2" i="2" l="1"/>
  <c r="F2" i="2"/>
  <c r="G3" i="2" l="1"/>
  <c r="G4" i="2"/>
  <c r="G5" i="2"/>
  <c r="G6" i="2"/>
  <c r="G7" i="2"/>
  <c r="G8" i="2"/>
  <c r="G9" i="2"/>
  <c r="G10" i="2"/>
  <c r="G11" i="2"/>
  <c r="G12" i="2"/>
  <c r="G13" i="2"/>
  <c r="F12" i="2"/>
  <c r="F13" i="2"/>
  <c r="F11" i="2"/>
  <c r="F9" i="2"/>
  <c r="F10" i="2"/>
  <c r="F8" i="2"/>
  <c r="F6" i="2"/>
  <c r="F7" i="2"/>
  <c r="F5" i="2"/>
  <c r="F3" i="2"/>
  <c r="F4" i="2"/>
  <c r="E18" i="2"/>
  <c r="E16" i="2"/>
  <c r="E17" i="2" s="1"/>
  <c r="D18" i="2"/>
  <c r="D16" i="2"/>
  <c r="D17" i="2" s="1"/>
  <c r="C18" i="2"/>
  <c r="C16" i="2"/>
  <c r="C17" i="2" s="1"/>
  <c r="C8" i="2" l="1"/>
  <c r="C11" i="2"/>
  <c r="C3" i="2"/>
  <c r="C6" i="2"/>
  <c r="C9" i="2"/>
  <c r="C12" i="2"/>
  <c r="C4" i="2"/>
  <c r="C7" i="2"/>
  <c r="C10" i="2"/>
  <c r="C13" i="2"/>
  <c r="C5" i="2"/>
  <c r="C2" i="2"/>
</calcChain>
</file>

<file path=xl/sharedStrings.xml><?xml version="1.0" encoding="utf-8"?>
<sst xmlns="http://schemas.openxmlformats.org/spreadsheetml/2006/main" count="173" uniqueCount="57">
  <si>
    <t>r_f</t>
  </si>
  <si>
    <t>infini</t>
  </si>
  <si>
    <t>400 pts</t>
  </si>
  <si>
    <t>900 pts</t>
  </si>
  <si>
    <t>1600 pts</t>
  </si>
  <si>
    <t>2500 pts</t>
  </si>
  <si>
    <t>N_k</t>
  </si>
  <si>
    <t>convergence</t>
  </si>
  <si>
    <t>nombre moyen de points dans la fenêtre</t>
  </si>
  <si>
    <t>espérance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</si>
  <si>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</si>
  <si>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</si>
  <si>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</si>
  <si>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</si>
  <si>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</si>
  <si>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</si>
  <si>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</si>
  <si>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</si>
  <si>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</si>
  <si>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</si>
  <si>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</si>
  <si>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</si>
  <si>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</si>
  <si>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</si>
  <si>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</si>
  <si>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</si>
  <si>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</si>
  <si>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</si>
  <si>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</si>
  <si>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</si>
  <si>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</si>
  <si>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</si>
  <si>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</si>
  <si>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Variable X 1</t>
  </si>
  <si>
    <t>ANALYSE DES RÉSIDUS</t>
  </si>
  <si>
    <t>Observation</t>
  </si>
  <si>
    <t>Prévisions pour Y</t>
  </si>
  <si>
    <t>R</t>
  </si>
  <si>
    <t>R2</t>
  </si>
  <si>
    <t>p valeur</t>
  </si>
  <si>
    <t>cas nombre</t>
  </si>
  <si>
    <t>cas N_k</t>
  </si>
  <si>
    <t>cas r_f</t>
  </si>
  <si>
    <t>Within Transform</t>
  </si>
  <si>
    <t>connue</t>
  </si>
  <si>
    <t>RMSE final</t>
  </si>
  <si>
    <t>RMSE moyen</t>
  </si>
  <si>
    <t>RMSE normé</t>
  </si>
  <si>
    <t>N_GP</t>
  </si>
  <si>
    <t>CV</t>
  </si>
  <si>
    <t>Resolution</t>
  </si>
  <si>
    <t>pasx</t>
  </si>
  <si>
    <t>pasy</t>
  </si>
  <si>
    <t>known map</t>
  </si>
  <si>
    <t>final RMSE</t>
  </si>
  <si>
    <t>ARMSE</t>
  </si>
  <si>
    <t>N_carte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</si>
</sst>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1" xfId="0" applyBorder="1"/>
    <xf numFmtId="10" fontId="0" fillId="0" borderId="0" xfId="0" applyNumberFormat="1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10" fontId="0" fillId="0" borderId="6" xfId="0" applyNumberFormat="1" applyBorder="1"/>
    <xf numFmtId="11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11" fontId="0" fillId="0" borderId="0" xfId="0" applyNumberFormat="1" applyBorder="1"/>
    <xf numFmtId="0" fontId="0" fillId="0" borderId="11" xfId="0" applyBorder="1" applyAlignment="1">
      <alignment wrapText="1"/>
    </xf>
    <xf numFmtId="2" fontId="0" fillId="0" borderId="0" xfId="0" applyNumberFormat="1" applyBorder="1"/>
    <xf numFmtId="9" fontId="0" fillId="0" borderId="3" xfId="0" applyNumberFormat="1" applyBorder="1"/>
    <xf numFmtId="11" fontId="0" fillId="0" borderId="5" xfId="0" applyNumberFormat="1" applyBorder="1"/>
    <xf numFmtId="2" fontId="0" fillId="0" borderId="6" xfId="0" applyNumberFormat="1" applyBorder="1"/>
    <xf numFmtId="0" fontId="0" fillId="0" borderId="0" xfId="0" applyFill="1" applyBorder="1" applyAlignment="1"/>
    <xf numFmtId="0" fontId="0" fillId="0" borderId="12" xfId="0" applyFill="1" applyBorder="1" applyAlignment="1"/>
    <xf numFmtId="0" fontId="2" fillId="0" borderId="13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Continuous"/>
    </xf>
    <xf numFmtId="9" fontId="0" fillId="0" borderId="6" xfId="0" applyNumberFormat="1" applyBorder="1"/>
    <xf numFmtId="164" fontId="0" fillId="0" borderId="0" xfId="1" applyNumberFormat="1" applyFont="1"/>
    <xf numFmtId="10" fontId="0" fillId="0" borderId="15" xfId="0" applyNumberFormat="1" applyBorder="1"/>
    <xf numFmtId="10" fontId="0" fillId="0" borderId="14" xfId="0" applyNumberFormat="1" applyBorder="1"/>
    <xf numFmtId="10" fontId="0" fillId="0" borderId="16" xfId="0" applyNumberFormat="1" applyBorder="1"/>
    <xf numFmtId="10" fontId="0" fillId="0" borderId="17" xfId="0" applyNumberFormat="1" applyBorder="1"/>
    <xf numFmtId="10" fontId="0" fillId="0" borderId="18" xfId="0" applyNumberFormat="1" applyBorder="1"/>
    <xf numFmtId="10" fontId="0" fillId="0" borderId="19" xfId="0" applyNumberFormat="1" applyBorder="1"/>
    <xf numFmtId="10" fontId="0" fillId="0" borderId="20" xfId="0" applyNumberFormat="1" applyBorder="1"/>
    <xf numFmtId="10" fontId="0" fillId="0" borderId="21" xfId="0" applyNumberFormat="1" applyBorder="1"/>
    <xf numFmtId="10" fontId="0" fillId="0" borderId="22" xfId="0" applyNumberFormat="1" applyBorder="1"/>
    <xf numFmtId="10" fontId="0" fillId="0" borderId="2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2" fontId="0" fillId="0" borderId="16" xfId="0" applyNumberFormat="1" applyBorder="1"/>
    <xf numFmtId="2" fontId="0" fillId="0" borderId="3" xfId="0" applyNumberFormat="1" applyBorder="1"/>
    <xf numFmtId="2" fontId="0" fillId="0" borderId="2" xfId="0" applyNumberFormat="1" applyBorder="1"/>
    <xf numFmtId="2" fontId="0" fillId="0" borderId="17" xfId="0" applyNumberFormat="1" applyBorder="1"/>
    <xf numFmtId="2" fontId="0" fillId="0" borderId="15" xfId="0" applyNumberFormat="1" applyBorder="1"/>
    <xf numFmtId="2" fontId="0" fillId="0" borderId="14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5" xfId="0" applyNumberFormat="1" applyBorder="1"/>
    <xf numFmtId="2" fontId="0" fillId="0" borderId="20" xfId="0" applyNumberFormat="1" applyBorder="1"/>
    <xf numFmtId="11" fontId="0" fillId="0" borderId="2" xfId="0" applyNumberFormat="1" applyBorder="1"/>
    <xf numFmtId="0" fontId="0" fillId="0" borderId="22" xfId="0" applyBorder="1"/>
    <xf numFmtId="10" fontId="0" fillId="0" borderId="0" xfId="0" applyNumberFormat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400 pts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Feuil1!$A$2:$A$11</c:f>
              <c:strCache>
                <c:ptCount val="10"/>
                <c:pt idx="0">
                  <c:v>2,00E+04</c:v>
                </c:pt>
                <c:pt idx="1">
                  <c:v>3,00E+04</c:v>
                </c:pt>
                <c:pt idx="2">
                  <c:v>4,00E+04</c:v>
                </c:pt>
                <c:pt idx="3">
                  <c:v>5,00E+04</c:v>
                </c:pt>
                <c:pt idx="4">
                  <c:v>6,00E+04</c:v>
                </c:pt>
                <c:pt idx="5">
                  <c:v>7,00E+04</c:v>
                </c:pt>
                <c:pt idx="6">
                  <c:v>8,00E+04</c:v>
                </c:pt>
                <c:pt idx="7">
                  <c:v>9,00E+04</c:v>
                </c:pt>
                <c:pt idx="8">
                  <c:v>1,00E+05</c:v>
                </c:pt>
                <c:pt idx="9">
                  <c:v>infini</c:v>
                </c:pt>
              </c:strCache>
            </c:strRef>
          </c:xVal>
          <c:yVal>
            <c:numRef>
              <c:f>Feuil1!$B$2:$B$11</c:f>
              <c:numCache>
                <c:formatCode>0.00%</c:formatCode>
                <c:ptCount val="10"/>
                <c:pt idx="0">
                  <c:v>0.82299999999999995</c:v>
                </c:pt>
                <c:pt idx="1">
                  <c:v>0.88700000000000001</c:v>
                </c:pt>
                <c:pt idx="2">
                  <c:v>0.88400000000000001</c:v>
                </c:pt>
                <c:pt idx="3">
                  <c:v>0.86599999999999999</c:v>
                </c:pt>
                <c:pt idx="4">
                  <c:v>0.86399999999999999</c:v>
                </c:pt>
                <c:pt idx="9">
                  <c:v>0.83099999999999996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C-4C48-A65B-6E2930270621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900 pts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Feuil1!$A$2:$A$11</c:f>
              <c:strCache>
                <c:ptCount val="10"/>
                <c:pt idx="0">
                  <c:v>2,00E+04</c:v>
                </c:pt>
                <c:pt idx="1">
                  <c:v>3,00E+04</c:v>
                </c:pt>
                <c:pt idx="2">
                  <c:v>4,00E+04</c:v>
                </c:pt>
                <c:pt idx="3">
                  <c:v>5,00E+04</c:v>
                </c:pt>
                <c:pt idx="4">
                  <c:v>6,00E+04</c:v>
                </c:pt>
                <c:pt idx="5">
                  <c:v>7,00E+04</c:v>
                </c:pt>
                <c:pt idx="6">
                  <c:v>8,00E+04</c:v>
                </c:pt>
                <c:pt idx="7">
                  <c:v>9,00E+04</c:v>
                </c:pt>
                <c:pt idx="8">
                  <c:v>1,00E+05</c:v>
                </c:pt>
                <c:pt idx="9">
                  <c:v>infini</c:v>
                </c:pt>
              </c:strCache>
            </c:strRef>
          </c:xVal>
          <c:yVal>
            <c:numRef>
              <c:f>Feuil1!$C$2:$C$11</c:f>
              <c:numCache>
                <c:formatCode>0.00%</c:formatCode>
                <c:ptCount val="10"/>
                <c:pt idx="0">
                  <c:v>0.70699999999999996</c:v>
                </c:pt>
                <c:pt idx="1">
                  <c:v>0.83099999999999996</c:v>
                </c:pt>
                <c:pt idx="2">
                  <c:v>0.84799999999999998</c:v>
                </c:pt>
                <c:pt idx="3">
                  <c:v>0.80100000000000005</c:v>
                </c:pt>
                <c:pt idx="4">
                  <c:v>0.754</c:v>
                </c:pt>
                <c:pt idx="9">
                  <c:v>0.748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95-4403-8FB8-870E7B024ED3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1600 pts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Feuil1!$A$2:$A$11</c:f>
              <c:strCache>
                <c:ptCount val="10"/>
                <c:pt idx="0">
                  <c:v>2,00E+04</c:v>
                </c:pt>
                <c:pt idx="1">
                  <c:v>3,00E+04</c:v>
                </c:pt>
                <c:pt idx="2">
                  <c:v>4,00E+04</c:v>
                </c:pt>
                <c:pt idx="3">
                  <c:v>5,00E+04</c:v>
                </c:pt>
                <c:pt idx="4">
                  <c:v>6,00E+04</c:v>
                </c:pt>
                <c:pt idx="5">
                  <c:v>7,00E+04</c:v>
                </c:pt>
                <c:pt idx="6">
                  <c:v>8,00E+04</c:v>
                </c:pt>
                <c:pt idx="7">
                  <c:v>9,00E+04</c:v>
                </c:pt>
                <c:pt idx="8">
                  <c:v>1,00E+05</c:v>
                </c:pt>
                <c:pt idx="9">
                  <c:v>infini</c:v>
                </c:pt>
              </c:strCache>
            </c:strRef>
          </c:xVal>
          <c:yVal>
            <c:numRef>
              <c:f>Feuil1!$D$2:$D$11</c:f>
              <c:numCache>
                <c:formatCode>0.00%</c:formatCode>
                <c:ptCount val="10"/>
                <c:pt idx="0">
                  <c:v>0.75900000000000001</c:v>
                </c:pt>
                <c:pt idx="1">
                  <c:v>0.752</c:v>
                </c:pt>
                <c:pt idx="2">
                  <c:v>0.73099999999999998</c:v>
                </c:pt>
                <c:pt idx="3">
                  <c:v>0.71499999999999997</c:v>
                </c:pt>
                <c:pt idx="4">
                  <c:v>0.68600000000000005</c:v>
                </c:pt>
                <c:pt idx="9">
                  <c:v>0.72199999999999998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7-40D9-A465-33A9B4499007}"/>
            </c:ext>
          </c:extLst>
        </c:ser>
        <c:ser>
          <c:idx val="4"/>
          <c:order val="3"/>
          <c:tx>
            <c:strRef>
              <c:f>Feuil1!$E$1</c:f>
              <c:strCache>
                <c:ptCount val="1"/>
                <c:pt idx="0">
                  <c:v>2500 pts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Feuil1!$A$2:$A$11</c:f>
              <c:strCache>
                <c:ptCount val="10"/>
                <c:pt idx="0">
                  <c:v>2,00E+04</c:v>
                </c:pt>
                <c:pt idx="1">
                  <c:v>3,00E+04</c:v>
                </c:pt>
                <c:pt idx="2">
                  <c:v>4,00E+04</c:v>
                </c:pt>
                <c:pt idx="3">
                  <c:v>5,00E+04</c:v>
                </c:pt>
                <c:pt idx="4">
                  <c:v>6,00E+04</c:v>
                </c:pt>
                <c:pt idx="5">
                  <c:v>7,00E+04</c:v>
                </c:pt>
                <c:pt idx="6">
                  <c:v>8,00E+04</c:v>
                </c:pt>
                <c:pt idx="7">
                  <c:v>9,00E+04</c:v>
                </c:pt>
                <c:pt idx="8">
                  <c:v>1,00E+05</c:v>
                </c:pt>
                <c:pt idx="9">
                  <c:v>infini</c:v>
                </c:pt>
              </c:strCache>
            </c:strRef>
          </c:xVal>
          <c:yVal>
            <c:numRef>
              <c:f>Feuil1!$E$2:$E$11</c:f>
              <c:numCache>
                <c:formatCode>0.00%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3-4651-A1B5-B5AB76B63262}"/>
            </c:ext>
          </c:extLst>
        </c:ser>
        <c:ser>
          <c:idx val="3"/>
          <c:order val="4"/>
          <c:tx>
            <c:strRef>
              <c:f>Feuil1!$F$1</c:f>
              <c:strCache>
                <c:ptCount val="1"/>
                <c:pt idx="0">
                  <c:v>connue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Feuil1!$A$2:$A$11</c:f>
              <c:strCache>
                <c:ptCount val="10"/>
                <c:pt idx="0">
                  <c:v>2,00E+04</c:v>
                </c:pt>
                <c:pt idx="1">
                  <c:v>3,00E+04</c:v>
                </c:pt>
                <c:pt idx="2">
                  <c:v>4,00E+04</c:v>
                </c:pt>
                <c:pt idx="3">
                  <c:v>5,00E+04</c:v>
                </c:pt>
                <c:pt idx="4">
                  <c:v>6,00E+04</c:v>
                </c:pt>
                <c:pt idx="5">
                  <c:v>7,00E+04</c:v>
                </c:pt>
                <c:pt idx="6">
                  <c:v>8,00E+04</c:v>
                </c:pt>
                <c:pt idx="7">
                  <c:v>9,00E+04</c:v>
                </c:pt>
                <c:pt idx="8">
                  <c:v>1,00E+05</c:v>
                </c:pt>
                <c:pt idx="9">
                  <c:v>infini</c:v>
                </c:pt>
              </c:strCache>
            </c:strRef>
          </c:xVal>
          <c:yVal>
            <c:numRef>
              <c:f>Feuil1!$F$2:$F$11</c:f>
              <c:numCache>
                <c:formatCode>0.00%</c:formatCode>
                <c:ptCount val="10"/>
                <c:pt idx="9">
                  <c:v>0.54500000000000004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3-4651-A1B5-B5AB76B63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332568"/>
        <c:axId val="391464808"/>
      </c:scatterChart>
      <c:valAx>
        <c:axId val="399332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r_f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1464808"/>
        <c:crosses val="autoZero"/>
        <c:crossBetween val="midCat"/>
      </c:valAx>
      <c:valAx>
        <c:axId val="39146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9332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Cas nombre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8993219597550309E-2"/>
                  <c:y val="-0.23697568825794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Feuil2!$D$2:$D$13</c:f>
              <c:numCache>
                <c:formatCode>General</c:formatCode>
                <c:ptCount val="12"/>
                <c:pt idx="0">
                  <c:v>5.1702000000000004</c:v>
                </c:pt>
                <c:pt idx="1">
                  <c:v>14.1777</c:v>
                </c:pt>
                <c:pt idx="2">
                  <c:v>18.462299999999999</c:v>
                </c:pt>
                <c:pt idx="3">
                  <c:v>12.314</c:v>
                </c:pt>
                <c:pt idx="4">
                  <c:v>28.543500000000002</c:v>
                </c:pt>
                <c:pt idx="5">
                  <c:v>47.049599999999998</c:v>
                </c:pt>
                <c:pt idx="6">
                  <c:v>22.437000000000001</c:v>
                </c:pt>
                <c:pt idx="7">
                  <c:v>50.112299999999998</c:v>
                </c:pt>
                <c:pt idx="8">
                  <c:v>88.986199999999997</c:v>
                </c:pt>
                <c:pt idx="9">
                  <c:v>37.187800000000003</c:v>
                </c:pt>
                <c:pt idx="10">
                  <c:v>81.055599999999998</c:v>
                </c:pt>
                <c:pt idx="11">
                  <c:v>146.52959999999999</c:v>
                </c:pt>
              </c:numCache>
            </c:numRef>
          </c:xVal>
          <c:yVal>
            <c:numRef>
              <c:f>Feuil2!$E$2:$E$13</c:f>
              <c:numCache>
                <c:formatCode>0%</c:formatCode>
                <c:ptCount val="12"/>
                <c:pt idx="0">
                  <c:v>0.84</c:v>
                </c:pt>
                <c:pt idx="1">
                  <c:v>0.67</c:v>
                </c:pt>
                <c:pt idx="2">
                  <c:v>0.73</c:v>
                </c:pt>
                <c:pt idx="3">
                  <c:v>0.94</c:v>
                </c:pt>
                <c:pt idx="4">
                  <c:v>0.8</c:v>
                </c:pt>
                <c:pt idx="5">
                  <c:v>0.73</c:v>
                </c:pt>
                <c:pt idx="6">
                  <c:v>0.9</c:v>
                </c:pt>
                <c:pt idx="7">
                  <c:v>0.84</c:v>
                </c:pt>
                <c:pt idx="8">
                  <c:v>0.81</c:v>
                </c:pt>
                <c:pt idx="9">
                  <c:v>0.85</c:v>
                </c:pt>
                <c:pt idx="10">
                  <c:v>0.87</c:v>
                </c:pt>
                <c:pt idx="11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D8-4F39-98E9-FB276FFD5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874344"/>
        <c:axId val="444875000"/>
      </c:scatterChart>
      <c:valAx>
        <c:axId val="444874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points moyens dans la fenêtre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4875000"/>
        <c:crosses val="autoZero"/>
        <c:crossBetween val="midCat"/>
      </c:valAx>
      <c:valAx>
        <c:axId val="44487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taux de convergence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4874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Cas N_k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8993219597550309E-2"/>
                  <c:y val="-0.23697568825794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Feuil2!$A$2:$A$13</c:f>
              <c:numCache>
                <c:formatCode>General</c:formatCode>
                <c:ptCount val="12"/>
                <c:pt idx="0">
                  <c:v>400</c:v>
                </c:pt>
                <c:pt idx="1">
                  <c:v>900</c:v>
                </c:pt>
                <c:pt idx="2">
                  <c:v>1600</c:v>
                </c:pt>
                <c:pt idx="3">
                  <c:v>400</c:v>
                </c:pt>
                <c:pt idx="4">
                  <c:v>900</c:v>
                </c:pt>
                <c:pt idx="5">
                  <c:v>1600</c:v>
                </c:pt>
                <c:pt idx="6">
                  <c:v>400</c:v>
                </c:pt>
                <c:pt idx="7">
                  <c:v>900</c:v>
                </c:pt>
                <c:pt idx="8">
                  <c:v>1600</c:v>
                </c:pt>
                <c:pt idx="9">
                  <c:v>400</c:v>
                </c:pt>
                <c:pt idx="10">
                  <c:v>900</c:v>
                </c:pt>
                <c:pt idx="11">
                  <c:v>1600</c:v>
                </c:pt>
              </c:numCache>
            </c:numRef>
          </c:xVal>
          <c:yVal>
            <c:numRef>
              <c:f>Feuil2!$E$2:$E$13</c:f>
              <c:numCache>
                <c:formatCode>0%</c:formatCode>
                <c:ptCount val="12"/>
                <c:pt idx="0">
                  <c:v>0.84</c:v>
                </c:pt>
                <c:pt idx="1">
                  <c:v>0.67</c:v>
                </c:pt>
                <c:pt idx="2">
                  <c:v>0.73</c:v>
                </c:pt>
                <c:pt idx="3">
                  <c:v>0.94</c:v>
                </c:pt>
                <c:pt idx="4">
                  <c:v>0.8</c:v>
                </c:pt>
                <c:pt idx="5">
                  <c:v>0.73</c:v>
                </c:pt>
                <c:pt idx="6">
                  <c:v>0.9</c:v>
                </c:pt>
                <c:pt idx="7">
                  <c:v>0.84</c:v>
                </c:pt>
                <c:pt idx="8">
                  <c:v>0.81</c:v>
                </c:pt>
                <c:pt idx="9">
                  <c:v>0.85</c:v>
                </c:pt>
                <c:pt idx="10">
                  <c:v>0.87</c:v>
                </c:pt>
                <c:pt idx="11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18-4D78-B7EC-015E3483E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874344"/>
        <c:axId val="444875000"/>
      </c:scatterChart>
      <c:valAx>
        <c:axId val="444874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points moyens dans la fenêtre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4875000"/>
        <c:crosses val="autoZero"/>
        <c:crossBetween val="midCat"/>
      </c:valAx>
      <c:valAx>
        <c:axId val="44487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taux de convergence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4874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Cas r_f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8993219597550309E-2"/>
                  <c:y val="-0.23697568825794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Feuil2!$B$2:$B$13</c:f>
              <c:numCache>
                <c:formatCode>0.00E+00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40000</c:v>
                </c:pt>
                <c:pt idx="7">
                  <c:v>40000</c:v>
                </c:pt>
                <c:pt idx="8">
                  <c:v>40000</c:v>
                </c:pt>
                <c:pt idx="9">
                  <c:v>50000</c:v>
                </c:pt>
                <c:pt idx="10">
                  <c:v>50000</c:v>
                </c:pt>
                <c:pt idx="11">
                  <c:v>50000</c:v>
                </c:pt>
              </c:numCache>
            </c:numRef>
          </c:xVal>
          <c:yVal>
            <c:numRef>
              <c:f>Feuil2!$E$2:$E$13</c:f>
              <c:numCache>
                <c:formatCode>0%</c:formatCode>
                <c:ptCount val="12"/>
                <c:pt idx="0">
                  <c:v>0.84</c:v>
                </c:pt>
                <c:pt idx="1">
                  <c:v>0.67</c:v>
                </c:pt>
                <c:pt idx="2">
                  <c:v>0.73</c:v>
                </c:pt>
                <c:pt idx="3">
                  <c:v>0.94</c:v>
                </c:pt>
                <c:pt idx="4">
                  <c:v>0.8</c:v>
                </c:pt>
                <c:pt idx="5">
                  <c:v>0.73</c:v>
                </c:pt>
                <c:pt idx="6">
                  <c:v>0.9</c:v>
                </c:pt>
                <c:pt idx="7">
                  <c:v>0.84</c:v>
                </c:pt>
                <c:pt idx="8">
                  <c:v>0.81</c:v>
                </c:pt>
                <c:pt idx="9">
                  <c:v>0.85</c:v>
                </c:pt>
                <c:pt idx="10">
                  <c:v>0.87</c:v>
                </c:pt>
                <c:pt idx="11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A2-4B54-8334-BD1BD5749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874344"/>
        <c:axId val="444875000"/>
      </c:scatterChart>
      <c:valAx>
        <c:axId val="444874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points moyens dans la fenêtre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4875000"/>
        <c:crosses val="autoZero"/>
        <c:crossBetween val="midCat"/>
      </c:valAx>
      <c:valAx>
        <c:axId val="44487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taux de convergence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4874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431539807524061E-2"/>
                  <c:y val="-0.642869276757072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Feuil2!$F$2:$F$13</c:f>
              <c:numCache>
                <c:formatCode>General</c:formatCode>
                <c:ptCount val="12"/>
                <c:pt idx="0">
                  <c:v>7.4331999999999985</c:v>
                </c:pt>
                <c:pt idx="1">
                  <c:v>-1.5743000000000009</c:v>
                </c:pt>
                <c:pt idx="2">
                  <c:v>-5.8589000000000002</c:v>
                </c:pt>
                <c:pt idx="3">
                  <c:v>16.988366666666668</c:v>
                </c:pt>
                <c:pt idx="4">
                  <c:v>0.75886666666666613</c:v>
                </c:pt>
                <c:pt idx="5">
                  <c:v>-17.74723333333333</c:v>
                </c:pt>
                <c:pt idx="6">
                  <c:v>31.40816666666667</c:v>
                </c:pt>
                <c:pt idx="7">
                  <c:v>3.7328666666666734</c:v>
                </c:pt>
                <c:pt idx="8">
                  <c:v>-35.141033333333326</c:v>
                </c:pt>
                <c:pt idx="9">
                  <c:v>51.069866666666677</c:v>
                </c:pt>
                <c:pt idx="10">
                  <c:v>7.2020666666666813</c:v>
                </c:pt>
                <c:pt idx="11">
                  <c:v>-58.271933333333308</c:v>
                </c:pt>
              </c:numCache>
            </c:numRef>
          </c:xVal>
          <c:yVal>
            <c:numRef>
              <c:f>Feuil2!$G$2:$G$13</c:f>
              <c:numCache>
                <c:formatCode>0.0%</c:formatCode>
                <c:ptCount val="12"/>
                <c:pt idx="0">
                  <c:v>-9.3333333333333268E-2</c:v>
                </c:pt>
                <c:pt idx="1">
                  <c:v>7.6666666666666661E-2</c:v>
                </c:pt>
                <c:pt idx="2">
                  <c:v>1.6666666666666718E-2</c:v>
                </c:pt>
                <c:pt idx="3">
                  <c:v>-0.1166666666666667</c:v>
                </c:pt>
                <c:pt idx="4">
                  <c:v>2.3333333333333206E-2</c:v>
                </c:pt>
                <c:pt idx="5">
                  <c:v>9.3333333333333268E-2</c:v>
                </c:pt>
                <c:pt idx="6">
                  <c:v>-5.0000000000000044E-2</c:v>
                </c:pt>
                <c:pt idx="7">
                  <c:v>1.0000000000000009E-2</c:v>
                </c:pt>
                <c:pt idx="8">
                  <c:v>3.9999999999999925E-2</c:v>
                </c:pt>
                <c:pt idx="9">
                  <c:v>-5.3333333333333233E-2</c:v>
                </c:pt>
                <c:pt idx="10">
                  <c:v>-7.333333333333325E-2</c:v>
                </c:pt>
                <c:pt idx="11">
                  <c:v>0.12666666666666671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012-42D6-8294-B3A3C0F24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871408"/>
        <c:axId val="570871736"/>
      </c:scatterChart>
      <c:valAx>
        <c:axId val="57087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0871736"/>
        <c:crosses val="autoZero"/>
        <c:crossBetween val="midCat"/>
      </c:valAx>
      <c:valAx>
        <c:axId val="57087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087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Variable X 1 Courbe de régression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Feuil2!$D$2:$D$13</c:f>
              <c:numCache>
                <c:formatCode>General</c:formatCode>
                <c:ptCount val="12"/>
                <c:pt idx="0">
                  <c:v>5.1702000000000004</c:v>
                </c:pt>
                <c:pt idx="1">
                  <c:v>14.1777</c:v>
                </c:pt>
                <c:pt idx="2">
                  <c:v>18.462299999999999</c:v>
                </c:pt>
                <c:pt idx="3">
                  <c:v>12.314</c:v>
                </c:pt>
                <c:pt idx="4">
                  <c:v>28.543500000000002</c:v>
                </c:pt>
                <c:pt idx="5">
                  <c:v>47.049599999999998</c:v>
                </c:pt>
                <c:pt idx="6">
                  <c:v>22.437000000000001</c:v>
                </c:pt>
                <c:pt idx="7">
                  <c:v>50.112299999999998</c:v>
                </c:pt>
                <c:pt idx="8">
                  <c:v>88.986199999999997</c:v>
                </c:pt>
                <c:pt idx="9">
                  <c:v>37.187800000000003</c:v>
                </c:pt>
                <c:pt idx="10">
                  <c:v>81.055599999999998</c:v>
                </c:pt>
                <c:pt idx="11">
                  <c:v>146.52959999999999</c:v>
                </c:pt>
              </c:numCache>
            </c:numRef>
          </c:xVal>
          <c:yVal>
            <c:numRef>
              <c:f>Feuil2!$E$2:$E$13</c:f>
              <c:numCache>
                <c:formatCode>0%</c:formatCode>
                <c:ptCount val="12"/>
                <c:pt idx="0">
                  <c:v>0.84</c:v>
                </c:pt>
                <c:pt idx="1">
                  <c:v>0.67</c:v>
                </c:pt>
                <c:pt idx="2">
                  <c:v>0.73</c:v>
                </c:pt>
                <c:pt idx="3">
                  <c:v>0.94</c:v>
                </c:pt>
                <c:pt idx="4">
                  <c:v>0.8</c:v>
                </c:pt>
                <c:pt idx="5">
                  <c:v>0.73</c:v>
                </c:pt>
                <c:pt idx="6">
                  <c:v>0.9</c:v>
                </c:pt>
                <c:pt idx="7">
                  <c:v>0.84</c:v>
                </c:pt>
                <c:pt idx="8">
                  <c:v>0.81</c:v>
                </c:pt>
                <c:pt idx="9">
                  <c:v>0.85</c:v>
                </c:pt>
                <c:pt idx="10">
                  <c:v>0.87</c:v>
                </c:pt>
                <c:pt idx="11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AF-460F-AD31-C3A34C4DEF50}"/>
            </c:ext>
          </c:extLst>
        </c:ser>
        <c:ser>
          <c:idx val="1"/>
          <c:order val="1"/>
          <c:tx>
            <c:v>Prévisions pour Y</c:v>
          </c:tx>
          <c:spPr>
            <a:ln w="19050">
              <a:noFill/>
            </a:ln>
          </c:spPr>
          <c:xVal>
            <c:numRef>
              <c:f>Feuil2!$D$2:$D$13</c:f>
              <c:numCache>
                <c:formatCode>General</c:formatCode>
                <c:ptCount val="12"/>
                <c:pt idx="0">
                  <c:v>5.1702000000000004</c:v>
                </c:pt>
                <c:pt idx="1">
                  <c:v>14.1777</c:v>
                </c:pt>
                <c:pt idx="2">
                  <c:v>18.462299999999999</c:v>
                </c:pt>
                <c:pt idx="3">
                  <c:v>12.314</c:v>
                </c:pt>
                <c:pt idx="4">
                  <c:v>28.543500000000002</c:v>
                </c:pt>
                <c:pt idx="5">
                  <c:v>47.049599999999998</c:v>
                </c:pt>
                <c:pt idx="6">
                  <c:v>22.437000000000001</c:v>
                </c:pt>
                <c:pt idx="7">
                  <c:v>50.112299999999998</c:v>
                </c:pt>
                <c:pt idx="8">
                  <c:v>88.986199999999997</c:v>
                </c:pt>
                <c:pt idx="9">
                  <c:v>37.187800000000003</c:v>
                </c:pt>
                <c:pt idx="10">
                  <c:v>81.055599999999998</c:v>
                </c:pt>
                <c:pt idx="11">
                  <c:v>146.52959999999999</c:v>
                </c:pt>
              </c:numCache>
            </c:numRef>
          </c:xVal>
          <c:yVal>
            <c:numRef>
              <c:f>Feuil3!$B$25:$B$36</c:f>
              <c:numCache>
                <c:formatCode>General</c:formatCode>
                <c:ptCount val="12"/>
                <c:pt idx="0">
                  <c:v>0.8329189358450152</c:v>
                </c:pt>
                <c:pt idx="1">
                  <c:v>0.82788855006730233</c:v>
                </c:pt>
                <c:pt idx="2">
                  <c:v>0.82076032766076956</c:v>
                </c:pt>
                <c:pt idx="3">
                  <c:v>0.81037338870252773</c:v>
                </c:pt>
                <c:pt idx="4">
                  <c:v>0.82657620510048857</c:v>
                </c:pt>
                <c:pt idx="5">
                  <c:v>0.8164603681502004</c:v>
                </c:pt>
                <c:pt idx="6">
                  <c:v>0.8012724590874698</c:v>
                </c:pt>
                <c:pt idx="7">
                  <c:v>0.779483392171332</c:v>
                </c:pt>
                <c:pt idx="8">
                  <c:v>0.82355915662444101</c:v>
                </c:pt>
                <c:pt idx="9">
                  <c:v>0.80342909316476774</c:v>
                </c:pt>
                <c:pt idx="10">
                  <c:v>0.77389897247191008</c:v>
                </c:pt>
                <c:pt idx="11">
                  <c:v>0.73337915095377582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AF-460F-AD31-C3A34C4DE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079904"/>
        <c:axId val="572074656"/>
      </c:scatterChart>
      <c:valAx>
        <c:axId val="572079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Variable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074656"/>
        <c:crosses val="autoZero"/>
        <c:crossBetween val="midCat"/>
      </c:valAx>
      <c:valAx>
        <c:axId val="572074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Y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572079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Variable X 1 Courbe de régression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Feuil2!$A$2:$A$13</c:f>
              <c:numCache>
                <c:formatCode>General</c:formatCode>
                <c:ptCount val="12"/>
                <c:pt idx="0">
                  <c:v>400</c:v>
                </c:pt>
                <c:pt idx="1">
                  <c:v>900</c:v>
                </c:pt>
                <c:pt idx="2">
                  <c:v>1600</c:v>
                </c:pt>
                <c:pt idx="3">
                  <c:v>400</c:v>
                </c:pt>
                <c:pt idx="4">
                  <c:v>900</c:v>
                </c:pt>
                <c:pt idx="5">
                  <c:v>1600</c:v>
                </c:pt>
                <c:pt idx="6">
                  <c:v>400</c:v>
                </c:pt>
                <c:pt idx="7">
                  <c:v>900</c:v>
                </c:pt>
                <c:pt idx="8">
                  <c:v>1600</c:v>
                </c:pt>
                <c:pt idx="9">
                  <c:v>400</c:v>
                </c:pt>
                <c:pt idx="10">
                  <c:v>900</c:v>
                </c:pt>
                <c:pt idx="11">
                  <c:v>1600</c:v>
                </c:pt>
              </c:numCache>
            </c:numRef>
          </c:xVal>
          <c:yVal>
            <c:numRef>
              <c:f>Feuil2!$E$2:$E$13</c:f>
              <c:numCache>
                <c:formatCode>0%</c:formatCode>
                <c:ptCount val="12"/>
                <c:pt idx="0">
                  <c:v>0.84</c:v>
                </c:pt>
                <c:pt idx="1">
                  <c:v>0.67</c:v>
                </c:pt>
                <c:pt idx="2">
                  <c:v>0.73</c:v>
                </c:pt>
                <c:pt idx="3">
                  <c:v>0.94</c:v>
                </c:pt>
                <c:pt idx="4">
                  <c:v>0.8</c:v>
                </c:pt>
                <c:pt idx="5">
                  <c:v>0.73</c:v>
                </c:pt>
                <c:pt idx="6">
                  <c:v>0.9</c:v>
                </c:pt>
                <c:pt idx="7">
                  <c:v>0.84</c:v>
                </c:pt>
                <c:pt idx="8">
                  <c:v>0.81</c:v>
                </c:pt>
                <c:pt idx="9">
                  <c:v>0.85</c:v>
                </c:pt>
                <c:pt idx="10">
                  <c:v>0.87</c:v>
                </c:pt>
                <c:pt idx="11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05-4D63-A021-26A74B85E254}"/>
            </c:ext>
          </c:extLst>
        </c:ser>
        <c:ser>
          <c:idx val="1"/>
          <c:order val="1"/>
          <c:tx>
            <c:v>Prévisions pour Y</c:v>
          </c:tx>
          <c:spPr>
            <a:ln w="19050">
              <a:noFill/>
            </a:ln>
          </c:spPr>
          <c:xVal>
            <c:numRef>
              <c:f>Feuil2!$A$2:$A$13</c:f>
              <c:numCache>
                <c:formatCode>General</c:formatCode>
                <c:ptCount val="12"/>
                <c:pt idx="0">
                  <c:v>400</c:v>
                </c:pt>
                <c:pt idx="1">
                  <c:v>900</c:v>
                </c:pt>
                <c:pt idx="2">
                  <c:v>1600</c:v>
                </c:pt>
                <c:pt idx="3">
                  <c:v>400</c:v>
                </c:pt>
                <c:pt idx="4">
                  <c:v>900</c:v>
                </c:pt>
                <c:pt idx="5">
                  <c:v>1600</c:v>
                </c:pt>
                <c:pt idx="6">
                  <c:v>400</c:v>
                </c:pt>
                <c:pt idx="7">
                  <c:v>900</c:v>
                </c:pt>
                <c:pt idx="8">
                  <c:v>1600</c:v>
                </c:pt>
                <c:pt idx="9">
                  <c:v>400</c:v>
                </c:pt>
                <c:pt idx="10">
                  <c:v>900</c:v>
                </c:pt>
                <c:pt idx="11">
                  <c:v>1600</c:v>
                </c:pt>
              </c:numCache>
            </c:numRef>
          </c:xVal>
          <c:yVal>
            <c:numRef>
              <c:f>Feuil4!$B$25:$B$36</c:f>
              <c:numCache>
                <c:formatCode>General</c:formatCode>
                <c:ptCount val="12"/>
                <c:pt idx="0">
                  <c:v>0.87246559633027521</c:v>
                </c:pt>
                <c:pt idx="1">
                  <c:v>0.87246559633027521</c:v>
                </c:pt>
                <c:pt idx="2">
                  <c:v>0.87246559633027521</c:v>
                </c:pt>
                <c:pt idx="3">
                  <c:v>0.87246559633027521</c:v>
                </c:pt>
                <c:pt idx="4">
                  <c:v>0.81220183486238529</c:v>
                </c:pt>
                <c:pt idx="5">
                  <c:v>0.81220183486238529</c:v>
                </c:pt>
                <c:pt idx="6">
                  <c:v>0.81220183486238529</c:v>
                </c:pt>
                <c:pt idx="7">
                  <c:v>0.81220183486238529</c:v>
                </c:pt>
                <c:pt idx="8">
                  <c:v>0.72783256880733949</c:v>
                </c:pt>
                <c:pt idx="9">
                  <c:v>0.72783256880733949</c:v>
                </c:pt>
                <c:pt idx="10">
                  <c:v>0.72783256880733949</c:v>
                </c:pt>
                <c:pt idx="11">
                  <c:v>0.72783256880733949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05-4D63-A021-26A74B85E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149664"/>
        <c:axId val="652152288"/>
      </c:scatterChart>
      <c:valAx>
        <c:axId val="65214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Variable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2152288"/>
        <c:crosses val="autoZero"/>
        <c:crossBetween val="midCat"/>
      </c:valAx>
      <c:valAx>
        <c:axId val="652152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Y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6521496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Variable X 1 Courbe de régression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Feuil2!$B$2:$B$13</c:f>
              <c:numCache>
                <c:formatCode>0.00E+00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40000</c:v>
                </c:pt>
                <c:pt idx="7">
                  <c:v>40000</c:v>
                </c:pt>
                <c:pt idx="8">
                  <c:v>40000</c:v>
                </c:pt>
                <c:pt idx="9">
                  <c:v>50000</c:v>
                </c:pt>
                <c:pt idx="10">
                  <c:v>50000</c:v>
                </c:pt>
                <c:pt idx="11">
                  <c:v>50000</c:v>
                </c:pt>
              </c:numCache>
            </c:numRef>
          </c:xVal>
          <c:yVal>
            <c:numRef>
              <c:f>Feuil2!$E$2:$E$13</c:f>
              <c:numCache>
                <c:formatCode>0%</c:formatCode>
                <c:ptCount val="12"/>
                <c:pt idx="0">
                  <c:v>0.84</c:v>
                </c:pt>
                <c:pt idx="1">
                  <c:v>0.67</c:v>
                </c:pt>
                <c:pt idx="2">
                  <c:v>0.73</c:v>
                </c:pt>
                <c:pt idx="3">
                  <c:v>0.94</c:v>
                </c:pt>
                <c:pt idx="4">
                  <c:v>0.8</c:v>
                </c:pt>
                <c:pt idx="5">
                  <c:v>0.73</c:v>
                </c:pt>
                <c:pt idx="6">
                  <c:v>0.9</c:v>
                </c:pt>
                <c:pt idx="7">
                  <c:v>0.84</c:v>
                </c:pt>
                <c:pt idx="8">
                  <c:v>0.81</c:v>
                </c:pt>
                <c:pt idx="9">
                  <c:v>0.85</c:v>
                </c:pt>
                <c:pt idx="10">
                  <c:v>0.87</c:v>
                </c:pt>
                <c:pt idx="11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D9-4EC4-8BCC-73CD9E2F18E7}"/>
            </c:ext>
          </c:extLst>
        </c:ser>
        <c:ser>
          <c:idx val="1"/>
          <c:order val="1"/>
          <c:tx>
            <c:v>Prévisions pour Y</c:v>
          </c:tx>
          <c:spPr>
            <a:ln w="19050">
              <a:noFill/>
            </a:ln>
          </c:spPr>
          <c:xVal>
            <c:numRef>
              <c:f>Feuil2!$B$2:$B$13</c:f>
              <c:numCache>
                <c:formatCode>0.00E+00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40000</c:v>
                </c:pt>
                <c:pt idx="7">
                  <c:v>40000</c:v>
                </c:pt>
                <c:pt idx="8">
                  <c:v>40000</c:v>
                </c:pt>
                <c:pt idx="9">
                  <c:v>50000</c:v>
                </c:pt>
                <c:pt idx="10">
                  <c:v>50000</c:v>
                </c:pt>
                <c:pt idx="11">
                  <c:v>50000</c:v>
                </c:pt>
              </c:numCache>
            </c:numRef>
          </c:xVal>
          <c:yVal>
            <c:numRef>
              <c:f>Feuil5!$B$25:$B$36</c:f>
              <c:numCache>
                <c:formatCode>General</c:formatCode>
                <c:ptCount val="12"/>
                <c:pt idx="0">
                  <c:v>0.77766666666666673</c:v>
                </c:pt>
                <c:pt idx="1">
                  <c:v>0.79533333333333345</c:v>
                </c:pt>
                <c:pt idx="2">
                  <c:v>0.81300000000000006</c:v>
                </c:pt>
                <c:pt idx="3">
                  <c:v>0.83066666666666678</c:v>
                </c:pt>
                <c:pt idx="4">
                  <c:v>0.77766666666666673</c:v>
                </c:pt>
                <c:pt idx="5">
                  <c:v>0.79533333333333345</c:v>
                </c:pt>
                <c:pt idx="6">
                  <c:v>0.81300000000000006</c:v>
                </c:pt>
                <c:pt idx="7">
                  <c:v>0.83066666666666678</c:v>
                </c:pt>
                <c:pt idx="8">
                  <c:v>0.77766666666666673</c:v>
                </c:pt>
                <c:pt idx="9">
                  <c:v>0.79533333333333345</c:v>
                </c:pt>
                <c:pt idx="10">
                  <c:v>0.81300000000000006</c:v>
                </c:pt>
                <c:pt idx="11">
                  <c:v>0.83066666666666678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D9-4EC4-8BCC-73CD9E2F1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905000"/>
        <c:axId val="692903688"/>
      </c:scatterChart>
      <c:valAx>
        <c:axId val="692905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Variable X 1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692903688"/>
        <c:crosses val="autoZero"/>
        <c:crossBetween val="midCat"/>
      </c:valAx>
      <c:valAx>
        <c:axId val="692903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Y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6929050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Variable X 1 Courbe de régression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Feuil2!$F$2:$F$13</c:f>
              <c:numCache>
                <c:formatCode>General</c:formatCode>
                <c:ptCount val="12"/>
                <c:pt idx="0">
                  <c:v>7.4331999999999985</c:v>
                </c:pt>
                <c:pt idx="1">
                  <c:v>-1.5743000000000009</c:v>
                </c:pt>
                <c:pt idx="2">
                  <c:v>-5.8589000000000002</c:v>
                </c:pt>
                <c:pt idx="3">
                  <c:v>16.988366666666668</c:v>
                </c:pt>
                <c:pt idx="4">
                  <c:v>0.75886666666666613</c:v>
                </c:pt>
                <c:pt idx="5">
                  <c:v>-17.74723333333333</c:v>
                </c:pt>
                <c:pt idx="6">
                  <c:v>31.40816666666667</c:v>
                </c:pt>
                <c:pt idx="7">
                  <c:v>3.7328666666666734</c:v>
                </c:pt>
                <c:pt idx="8">
                  <c:v>-35.141033333333326</c:v>
                </c:pt>
                <c:pt idx="9">
                  <c:v>51.069866666666677</c:v>
                </c:pt>
                <c:pt idx="10">
                  <c:v>7.2020666666666813</c:v>
                </c:pt>
                <c:pt idx="11">
                  <c:v>-58.271933333333308</c:v>
                </c:pt>
              </c:numCache>
            </c:numRef>
          </c:xVal>
          <c:yVal>
            <c:numRef>
              <c:f>Feuil2!$G$2:$G$13</c:f>
              <c:numCache>
                <c:formatCode>0.0%</c:formatCode>
                <c:ptCount val="12"/>
                <c:pt idx="0">
                  <c:v>-9.3333333333333268E-2</c:v>
                </c:pt>
                <c:pt idx="1">
                  <c:v>7.6666666666666661E-2</c:v>
                </c:pt>
                <c:pt idx="2">
                  <c:v>1.6666666666666718E-2</c:v>
                </c:pt>
                <c:pt idx="3">
                  <c:v>-0.1166666666666667</c:v>
                </c:pt>
                <c:pt idx="4">
                  <c:v>2.3333333333333206E-2</c:v>
                </c:pt>
                <c:pt idx="5">
                  <c:v>9.3333333333333268E-2</c:v>
                </c:pt>
                <c:pt idx="6">
                  <c:v>-5.0000000000000044E-2</c:v>
                </c:pt>
                <c:pt idx="7">
                  <c:v>1.0000000000000009E-2</c:v>
                </c:pt>
                <c:pt idx="8">
                  <c:v>3.9999999999999925E-2</c:v>
                </c:pt>
                <c:pt idx="9">
                  <c:v>-5.3333333333333233E-2</c:v>
                </c:pt>
                <c:pt idx="10">
                  <c:v>-7.333333333333325E-2</c:v>
                </c:pt>
                <c:pt idx="11">
                  <c:v>0.12666666666666671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49-48E3-AC70-10485E012FF1}"/>
            </c:ext>
          </c:extLst>
        </c:ser>
        <c:ser>
          <c:idx val="1"/>
          <c:order val="1"/>
          <c:tx>
            <c:v>Prévisions pour Y</c:v>
          </c:tx>
          <c:spPr>
            <a:ln w="19050">
              <a:noFill/>
            </a:ln>
          </c:spPr>
          <c:xVal>
            <c:numRef>
              <c:f>Feuil2!$F$2:$F$13</c:f>
              <c:numCache>
                <c:formatCode>General</c:formatCode>
                <c:ptCount val="12"/>
                <c:pt idx="0">
                  <c:v>7.4331999999999985</c:v>
                </c:pt>
                <c:pt idx="1">
                  <c:v>-1.5743000000000009</c:v>
                </c:pt>
                <c:pt idx="2">
                  <c:v>-5.8589000000000002</c:v>
                </c:pt>
                <c:pt idx="3">
                  <c:v>16.988366666666668</c:v>
                </c:pt>
                <c:pt idx="4">
                  <c:v>0.75886666666666613</c:v>
                </c:pt>
                <c:pt idx="5">
                  <c:v>-17.74723333333333</c:v>
                </c:pt>
                <c:pt idx="6">
                  <c:v>31.40816666666667</c:v>
                </c:pt>
                <c:pt idx="7">
                  <c:v>3.7328666666666734</c:v>
                </c:pt>
                <c:pt idx="8">
                  <c:v>-35.141033333333326</c:v>
                </c:pt>
                <c:pt idx="9">
                  <c:v>51.069866666666677</c:v>
                </c:pt>
                <c:pt idx="10">
                  <c:v>7.2020666666666813</c:v>
                </c:pt>
                <c:pt idx="11">
                  <c:v>-58.271933333333308</c:v>
                </c:pt>
              </c:numCache>
            </c:numRef>
          </c:xVal>
          <c:yVal>
            <c:numRef>
              <c:f>Feuil6!$B$25:$B$36</c:f>
              <c:numCache>
                <c:formatCode>General</c:formatCode>
                <c:ptCount val="12"/>
                <c:pt idx="0">
                  <c:v>-1.4974133921443769E-2</c:v>
                </c:pt>
                <c:pt idx="1">
                  <c:v>3.1714172943724155E-3</c:v>
                </c:pt>
                <c:pt idx="2">
                  <c:v>1.1802716627071389E-2</c:v>
                </c:pt>
                <c:pt idx="3">
                  <c:v>-3.4222956139113449E-2</c:v>
                </c:pt>
                <c:pt idx="4">
                  <c:v>-1.5287320528421429E-3</c:v>
                </c:pt>
                <c:pt idx="5">
                  <c:v>3.5751688191955622E-2</c:v>
                </c:pt>
                <c:pt idx="6">
                  <c:v>-6.3271551134597911E-2</c:v>
                </c:pt>
                <c:pt idx="7">
                  <c:v>-7.5198360568207688E-3</c:v>
                </c:pt>
                <c:pt idx="8">
                  <c:v>7.0791387191418684E-2</c:v>
                </c:pt>
                <c:pt idx="9">
                  <c:v>-0.10287992019815752</c:v>
                </c:pt>
                <c:pt idx="10">
                  <c:v>-1.4508517297776601E-2</c:v>
                </c:pt>
                <c:pt idx="11">
                  <c:v>0.11738843749593406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49-48E3-AC70-10485E012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911232"/>
        <c:axId val="692911560"/>
      </c:scatterChart>
      <c:valAx>
        <c:axId val="69291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Variable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2911560"/>
        <c:crosses val="autoZero"/>
        <c:crossBetween val="midCat"/>
      </c:valAx>
      <c:valAx>
        <c:axId val="692911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Y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6929112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733424</xdr:colOff>
      <xdr:row>3</xdr:row>
      <xdr:rowOff>117475</xdr:rowOff>
    </xdr:from>
    <xdr:to>
      <xdr:col>14</xdr:col>
      <xdr:colOff>660399</xdr:colOff>
      <xdr:row>18</xdr:row>
      <xdr:rowOff>98425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13A8347-C39A-42D3-9CE3-6835FEDA7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0</xdr:row>
      <xdr:rowOff>212725</xdr:rowOff>
    </xdr:from>
    <xdr:to>
      <xdr:col>14</xdr:col>
      <xdr:colOff>3175</xdr:colOff>
      <xdr:row>19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463CF42-E59A-466D-9A23-08969FB0A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</xdr:colOff>
      <xdr:row>20</xdr:row>
      <xdr:rowOff>6350</xdr:rowOff>
    </xdr:from>
    <xdr:to>
      <xdr:col>12</xdr:col>
      <xdr:colOff>6350</xdr:colOff>
      <xdr:row>38</xdr:row>
      <xdr:rowOff>171450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1B24FB7-C480-48FF-88DD-3BFBDA454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215900</xdr:colOff>
      <xdr:row>20</xdr:row>
      <xdr:rowOff>6350</xdr:rowOff>
    </xdr:from>
    <xdr:to>
      <xdr:col>5</xdr:col>
      <xdr:colOff>412750</xdr:colOff>
      <xdr:row>38</xdr:row>
      <xdr:rowOff>171450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1ED1988-E4EA-4B11-9E74-09A077C6C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142875</xdr:colOff>
      <xdr:row>2</xdr:row>
      <xdr:rowOff>3175</xdr:rowOff>
    </xdr:from>
    <xdr:to>
      <xdr:col>20</xdr:col>
      <xdr:colOff>142875</xdr:colOff>
      <xdr:row>16</xdr:row>
      <xdr:rowOff>168275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9B40697-88A8-4A70-BD19-6D3B3A178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42D10B-F8FC-408D-871C-01E70BB29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B511E20-E0DD-4E11-81FB-61FEAADB8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F929045-301A-4CF1-8575-4C477C0DC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48481B-F06F-452B-94DC-C79C322DF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564F-75ED-4A5F-ABB2-0059B42178D8}">
  <dimension ref="A1:I22"/>
  <sheetViews>
    <sheetView tabSelected="1" workbookViewId="0">
      <selection activeCell="D21" sqref="D21"/>
    </sheetView>
  </sheetViews>
  <sheetFormatPr baseColWidth="10" defaultRowHeight="14.5" x14ac:dyDescent="0.35"/>
  <sheetData>
    <row r="1" spans="1:9" x14ac:dyDescent="0.35">
      <c r="B1" t="s">
        <v>48</v>
      </c>
      <c r="C1" t="s">
        <v>49</v>
      </c>
      <c r="D1" t="s">
        <v>54</v>
      </c>
      <c r="E1" t="s">
        <v>55</v>
      </c>
      <c r="G1" t="s">
        <v>51</v>
      </c>
      <c r="H1" t="s">
        <v>52</v>
      </c>
      <c r="I1" t="s">
        <v>50</v>
      </c>
    </row>
    <row r="2" spans="1:9" x14ac:dyDescent="0.35">
      <c r="A2">
        <v>10</v>
      </c>
      <c r="B2">
        <f>A2*A2</f>
        <v>100</v>
      </c>
      <c r="C2">
        <v>0</v>
      </c>
      <c r="D2">
        <v>0</v>
      </c>
      <c r="E2">
        <v>0</v>
      </c>
      <c r="G2">
        <f>(170-130)/A2</f>
        <v>4</v>
      </c>
      <c r="H2">
        <f>(220-120)/A2</f>
        <v>10</v>
      </c>
      <c r="I2">
        <f>(G2+H2)/2</f>
        <v>7</v>
      </c>
    </row>
    <row r="3" spans="1:9" x14ac:dyDescent="0.35">
      <c r="A3">
        <v>20</v>
      </c>
      <c r="B3">
        <f t="shared" ref="B3:B9" si="0">A3*A3</f>
        <v>400</v>
      </c>
      <c r="C3">
        <v>0</v>
      </c>
      <c r="D3">
        <v>0</v>
      </c>
      <c r="E3">
        <v>0</v>
      </c>
      <c r="G3">
        <f t="shared" ref="G3:G9" si="1">(170-130)/A3</f>
        <v>2</v>
      </c>
      <c r="H3">
        <f t="shared" ref="H3:H9" si="2">(220-120)/A3</f>
        <v>5</v>
      </c>
      <c r="I3">
        <f t="shared" ref="I3:I10" si="3">(G3+H3)/2</f>
        <v>3.5</v>
      </c>
    </row>
    <row r="4" spans="1:9" x14ac:dyDescent="0.35">
      <c r="A4">
        <v>30</v>
      </c>
      <c r="B4">
        <f t="shared" si="0"/>
        <v>900</v>
      </c>
      <c r="C4">
        <v>1</v>
      </c>
      <c r="D4">
        <v>2.2400000000000002</v>
      </c>
      <c r="E4">
        <v>2.56</v>
      </c>
      <c r="G4">
        <f t="shared" si="1"/>
        <v>1.3333333333333333</v>
      </c>
      <c r="H4">
        <f t="shared" si="2"/>
        <v>3.3333333333333335</v>
      </c>
      <c r="I4">
        <f t="shared" si="3"/>
        <v>2.3333333333333335</v>
      </c>
    </row>
    <row r="5" spans="1:9" x14ac:dyDescent="0.35">
      <c r="A5">
        <v>40</v>
      </c>
      <c r="B5">
        <f t="shared" si="0"/>
        <v>1600</v>
      </c>
      <c r="C5">
        <v>26</v>
      </c>
      <c r="D5">
        <v>3.61</v>
      </c>
      <c r="E5">
        <v>3.13</v>
      </c>
      <c r="G5">
        <f t="shared" si="1"/>
        <v>1</v>
      </c>
      <c r="H5">
        <f t="shared" si="2"/>
        <v>2.5</v>
      </c>
      <c r="I5">
        <f t="shared" si="3"/>
        <v>1.75</v>
      </c>
    </row>
    <row r="6" spans="1:9" x14ac:dyDescent="0.35">
      <c r="A6">
        <v>50</v>
      </c>
      <c r="B6">
        <f t="shared" si="0"/>
        <v>2500</v>
      </c>
      <c r="C6">
        <v>72</v>
      </c>
      <c r="D6">
        <v>1.17</v>
      </c>
      <c r="E6">
        <v>2.2599999999999998</v>
      </c>
      <c r="G6">
        <f t="shared" si="1"/>
        <v>0.8</v>
      </c>
      <c r="H6">
        <f t="shared" si="2"/>
        <v>2</v>
      </c>
      <c r="I6">
        <f t="shared" si="3"/>
        <v>1.4</v>
      </c>
    </row>
    <row r="7" spans="1:9" x14ac:dyDescent="0.35">
      <c r="A7">
        <v>60</v>
      </c>
      <c r="B7">
        <f t="shared" si="0"/>
        <v>3600</v>
      </c>
      <c r="G7">
        <f t="shared" si="1"/>
        <v>0.66666666666666663</v>
      </c>
      <c r="H7">
        <f t="shared" si="2"/>
        <v>1.6666666666666667</v>
      </c>
      <c r="I7">
        <f t="shared" si="3"/>
        <v>1.1666666666666667</v>
      </c>
    </row>
    <row r="8" spans="1:9" x14ac:dyDescent="0.35">
      <c r="A8">
        <v>70</v>
      </c>
      <c r="B8">
        <f t="shared" si="0"/>
        <v>4900</v>
      </c>
      <c r="C8">
        <v>81</v>
      </c>
      <c r="D8">
        <v>1.68</v>
      </c>
      <c r="G8">
        <f t="shared" si="1"/>
        <v>0.5714285714285714</v>
      </c>
      <c r="H8">
        <f t="shared" si="2"/>
        <v>1.4285714285714286</v>
      </c>
      <c r="I8">
        <f t="shared" si="3"/>
        <v>1</v>
      </c>
    </row>
    <row r="9" spans="1:9" x14ac:dyDescent="0.35">
      <c r="A9">
        <v>80</v>
      </c>
      <c r="B9">
        <f t="shared" si="0"/>
        <v>6400</v>
      </c>
      <c r="G9">
        <f t="shared" si="1"/>
        <v>0.5</v>
      </c>
      <c r="H9">
        <f t="shared" si="2"/>
        <v>1.25</v>
      </c>
      <c r="I9">
        <f t="shared" si="3"/>
        <v>0.875</v>
      </c>
    </row>
    <row r="10" spans="1:9" x14ac:dyDescent="0.35">
      <c r="B10" t="s">
        <v>53</v>
      </c>
      <c r="C10">
        <v>90</v>
      </c>
      <c r="D10">
        <v>1.1599999999999999</v>
      </c>
      <c r="E10">
        <v>1.95</v>
      </c>
      <c r="G10">
        <f>333.6451/1000</f>
        <v>0.33364510000000003</v>
      </c>
      <c r="H10">
        <f>463.8212/1000</f>
        <v>0.46382119999999999</v>
      </c>
      <c r="I10">
        <f t="shared" si="3"/>
        <v>0.39873314999999998</v>
      </c>
    </row>
    <row r="13" spans="1:9" x14ac:dyDescent="0.35">
      <c r="B13" t="s">
        <v>56</v>
      </c>
      <c r="C13" t="s">
        <v>49</v>
      </c>
      <c r="D13" t="s">
        <v>54</v>
      </c>
      <c r="E13" t="s">
        <v>55</v>
      </c>
    </row>
    <row r="14" spans="1:9" x14ac:dyDescent="0.35">
      <c r="A14">
        <v>10</v>
      </c>
      <c r="B14">
        <f>A14*A14</f>
        <v>100</v>
      </c>
      <c r="C14">
        <v>0</v>
      </c>
      <c r="D14">
        <v>0</v>
      </c>
      <c r="E14">
        <v>0</v>
      </c>
      <c r="G14">
        <f>B14*25</f>
        <v>2500</v>
      </c>
    </row>
    <row r="15" spans="1:9" x14ac:dyDescent="0.35">
      <c r="A15">
        <v>20</v>
      </c>
      <c r="B15">
        <f t="shared" ref="B15:B21" si="4">A15*A15</f>
        <v>400</v>
      </c>
      <c r="C15">
        <v>0</v>
      </c>
      <c r="D15">
        <v>0</v>
      </c>
      <c r="E15">
        <v>0</v>
      </c>
      <c r="G15">
        <f t="shared" ref="G15:G21" si="5">B15*25</f>
        <v>10000</v>
      </c>
    </row>
    <row r="16" spans="1:9" x14ac:dyDescent="0.35">
      <c r="A16">
        <v>30</v>
      </c>
      <c r="B16">
        <f t="shared" si="4"/>
        <v>900</v>
      </c>
      <c r="C16">
        <v>3</v>
      </c>
      <c r="D16">
        <v>10.210000000000001</v>
      </c>
      <c r="G16">
        <f t="shared" si="5"/>
        <v>22500</v>
      </c>
    </row>
    <row r="17" spans="1:7" x14ac:dyDescent="0.35">
      <c r="A17">
        <v>40</v>
      </c>
      <c r="B17">
        <f t="shared" si="4"/>
        <v>1600</v>
      </c>
      <c r="C17">
        <v>76</v>
      </c>
      <c r="D17">
        <v>1.5</v>
      </c>
      <c r="G17">
        <f t="shared" si="5"/>
        <v>40000</v>
      </c>
    </row>
    <row r="18" spans="1:7" x14ac:dyDescent="0.35">
      <c r="A18">
        <v>50</v>
      </c>
      <c r="B18">
        <f t="shared" si="4"/>
        <v>2500</v>
      </c>
      <c r="C18">
        <v>54</v>
      </c>
      <c r="D18">
        <v>2.64</v>
      </c>
      <c r="G18">
        <f t="shared" si="5"/>
        <v>62500</v>
      </c>
    </row>
    <row r="19" spans="1:7" x14ac:dyDescent="0.35">
      <c r="A19">
        <v>60</v>
      </c>
      <c r="B19">
        <f t="shared" si="4"/>
        <v>3600</v>
      </c>
      <c r="C19">
        <v>60</v>
      </c>
      <c r="D19">
        <v>0.93</v>
      </c>
      <c r="G19">
        <f t="shared" si="5"/>
        <v>90000</v>
      </c>
    </row>
    <row r="20" spans="1:7" x14ac:dyDescent="0.35">
      <c r="A20">
        <v>70</v>
      </c>
      <c r="B20">
        <f t="shared" si="4"/>
        <v>4900</v>
      </c>
      <c r="C20">
        <v>93</v>
      </c>
      <c r="D20">
        <v>1.24</v>
      </c>
      <c r="G20">
        <f t="shared" si="5"/>
        <v>122500</v>
      </c>
    </row>
    <row r="21" spans="1:7" x14ac:dyDescent="0.35">
      <c r="A21">
        <v>80</v>
      </c>
      <c r="B21">
        <f t="shared" si="4"/>
        <v>6400</v>
      </c>
      <c r="G21">
        <f t="shared" si="5"/>
        <v>160000</v>
      </c>
    </row>
    <row r="22" spans="1:7" x14ac:dyDescent="0.35">
      <c r="B22" t="s">
        <v>53</v>
      </c>
      <c r="G22">
        <f>799^2</f>
        <v>638401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FBB2-E8CB-490A-9F50-DC4CEFB9472F}">
  <dimension ref="A1:F51"/>
  <sheetViews>
    <sheetView workbookViewId="0">
      <selection activeCell="A42" sqref="A42"/>
    </sheetView>
  </sheetViews>
  <sheetFormatPr baseColWidth="10" defaultRowHeight="14.5" x14ac:dyDescent="0.35"/>
  <cols>
    <col min="1" max="1" width="11.7265625" bestFit="1" customWidth="1"/>
  </cols>
  <sheetData>
    <row r="1" spans="1:6" x14ac:dyDescent="0.35">
      <c r="A1" s="1" t="s">
        <v>7</v>
      </c>
      <c r="B1" s="9" t="s">
        <v>2</v>
      </c>
      <c r="C1" s="9" t="s">
        <v>3</v>
      </c>
      <c r="D1" s="9" t="s">
        <v>4</v>
      </c>
      <c r="E1" s="9" t="s">
        <v>5</v>
      </c>
      <c r="F1" s="10" t="s">
        <v>44</v>
      </c>
    </row>
    <row r="2" spans="1:6" x14ac:dyDescent="0.35">
      <c r="A2" s="7">
        <v>20000</v>
      </c>
      <c r="B2" s="32">
        <v>0.82299999999999995</v>
      </c>
      <c r="C2" s="33">
        <v>0.70699999999999996</v>
      </c>
      <c r="D2" s="33">
        <v>0.75900000000000001</v>
      </c>
      <c r="E2" s="27"/>
      <c r="F2" s="3"/>
    </row>
    <row r="3" spans="1:6" x14ac:dyDescent="0.35">
      <c r="A3" s="7">
        <v>30000</v>
      </c>
      <c r="B3" s="34">
        <v>0.88700000000000001</v>
      </c>
      <c r="C3" s="2">
        <v>0.83099999999999996</v>
      </c>
      <c r="D3" s="2">
        <v>0.752</v>
      </c>
      <c r="E3" s="28"/>
      <c r="F3" s="3"/>
    </row>
    <row r="4" spans="1:6" x14ac:dyDescent="0.35">
      <c r="A4" s="7">
        <v>40000</v>
      </c>
      <c r="B4" s="34">
        <v>0.88400000000000001</v>
      </c>
      <c r="C4" s="2">
        <v>0.84799999999999998</v>
      </c>
      <c r="D4" s="2">
        <v>0.73099999999999998</v>
      </c>
      <c r="E4" s="28"/>
      <c r="F4" s="3"/>
    </row>
    <row r="5" spans="1:6" x14ac:dyDescent="0.35">
      <c r="A5" s="7">
        <v>50000</v>
      </c>
      <c r="B5" s="34">
        <v>0.86599999999999999</v>
      </c>
      <c r="C5" s="2">
        <v>0.80100000000000005</v>
      </c>
      <c r="D5" s="2">
        <v>0.71499999999999997</v>
      </c>
      <c r="E5" s="28"/>
      <c r="F5" s="3"/>
    </row>
    <row r="6" spans="1:6" x14ac:dyDescent="0.35">
      <c r="A6" s="7">
        <v>60000</v>
      </c>
      <c r="B6" s="34">
        <v>0.86399999999999999</v>
      </c>
      <c r="C6" s="2">
        <v>0.754</v>
      </c>
      <c r="D6" s="2">
        <v>0.68600000000000005</v>
      </c>
      <c r="E6" s="28"/>
      <c r="F6" s="3"/>
    </row>
    <row r="7" spans="1:6" x14ac:dyDescent="0.35">
      <c r="A7" s="7">
        <v>70000</v>
      </c>
      <c r="B7" s="34"/>
      <c r="C7" s="2"/>
      <c r="D7" s="2"/>
      <c r="E7" s="28"/>
      <c r="F7" s="3"/>
    </row>
    <row r="8" spans="1:6" x14ac:dyDescent="0.35">
      <c r="A8" s="7">
        <v>80000</v>
      </c>
      <c r="B8" s="34"/>
      <c r="C8" s="2"/>
      <c r="D8" s="2"/>
      <c r="E8" s="28"/>
      <c r="F8" s="3"/>
    </row>
    <row r="9" spans="1:6" x14ac:dyDescent="0.35">
      <c r="A9" s="7">
        <v>90000</v>
      </c>
      <c r="B9" s="34"/>
      <c r="C9" s="2"/>
      <c r="D9" s="2"/>
      <c r="E9" s="28"/>
      <c r="F9" s="3"/>
    </row>
    <row r="10" spans="1:6" x14ac:dyDescent="0.35">
      <c r="A10" s="7">
        <v>100000</v>
      </c>
      <c r="B10" s="25"/>
      <c r="C10" s="26"/>
      <c r="D10" s="26"/>
      <c r="E10" s="29"/>
      <c r="F10" s="30"/>
    </row>
    <row r="11" spans="1:6" x14ac:dyDescent="0.35">
      <c r="A11" s="8" t="s">
        <v>1</v>
      </c>
      <c r="B11" s="5">
        <v>0.83099999999999996</v>
      </c>
      <c r="C11" s="5">
        <v>0.748</v>
      </c>
      <c r="D11" s="5">
        <v>0.72199999999999998</v>
      </c>
      <c r="E11" s="31"/>
      <c r="F11" s="6">
        <v>0.54500000000000004</v>
      </c>
    </row>
    <row r="14" spans="1:6" x14ac:dyDescent="0.35">
      <c r="A14" s="1" t="s">
        <v>45</v>
      </c>
      <c r="B14" s="9" t="s">
        <v>2</v>
      </c>
      <c r="C14" s="9" t="s">
        <v>3</v>
      </c>
      <c r="D14" s="9" t="s">
        <v>4</v>
      </c>
      <c r="E14" s="9" t="s">
        <v>5</v>
      </c>
      <c r="F14" s="10" t="s">
        <v>44</v>
      </c>
    </row>
    <row r="15" spans="1:6" x14ac:dyDescent="0.35">
      <c r="A15" s="7">
        <v>20000</v>
      </c>
      <c r="B15" s="35">
        <v>0.74</v>
      </c>
      <c r="C15" s="36">
        <v>0.61199999999999999</v>
      </c>
      <c r="D15" s="36">
        <v>0.99</v>
      </c>
      <c r="E15" s="37"/>
      <c r="F15" s="38"/>
    </row>
    <row r="16" spans="1:6" x14ac:dyDescent="0.35">
      <c r="A16" s="7">
        <v>30000</v>
      </c>
      <c r="B16" s="39">
        <v>1.28</v>
      </c>
      <c r="C16" s="15">
        <v>1.7789999999999999</v>
      </c>
      <c r="D16" s="15">
        <v>1.9119999999999999</v>
      </c>
      <c r="E16" s="40"/>
      <c r="F16" s="38"/>
    </row>
    <row r="17" spans="1:6" x14ac:dyDescent="0.35">
      <c r="A17" s="7">
        <v>40000</v>
      </c>
      <c r="B17" s="39">
        <v>1.7450000000000001</v>
      </c>
      <c r="C17" s="15">
        <v>1.76</v>
      </c>
      <c r="D17" s="15">
        <v>2.2789999999999999</v>
      </c>
      <c r="E17" s="40"/>
      <c r="F17" s="38"/>
    </row>
    <row r="18" spans="1:6" x14ac:dyDescent="0.35">
      <c r="A18" s="7">
        <v>50000</v>
      </c>
      <c r="B18" s="39">
        <v>2.472</v>
      </c>
      <c r="C18" s="15">
        <v>1.8120000000000001</v>
      </c>
      <c r="D18" s="15">
        <v>2.1960000000000002</v>
      </c>
      <c r="E18" s="40"/>
      <c r="F18" s="38"/>
    </row>
    <row r="19" spans="1:6" x14ac:dyDescent="0.35">
      <c r="A19" s="7">
        <v>60000</v>
      </c>
      <c r="B19" s="39">
        <v>2.9009999999999998</v>
      </c>
      <c r="C19" s="15">
        <v>1.776</v>
      </c>
      <c r="D19" s="15">
        <v>2.246</v>
      </c>
      <c r="E19" s="40"/>
      <c r="F19" s="38"/>
    </row>
    <row r="20" spans="1:6" x14ac:dyDescent="0.35">
      <c r="A20" s="7">
        <v>70000</v>
      </c>
      <c r="B20" s="39"/>
      <c r="C20" s="15"/>
      <c r="D20" s="15"/>
      <c r="E20" s="40"/>
      <c r="F20" s="38"/>
    </row>
    <row r="21" spans="1:6" x14ac:dyDescent="0.35">
      <c r="A21" s="7">
        <v>80000</v>
      </c>
      <c r="B21" s="39"/>
      <c r="C21" s="15"/>
      <c r="D21" s="15"/>
      <c r="E21" s="40"/>
      <c r="F21" s="38"/>
    </row>
    <row r="22" spans="1:6" x14ac:dyDescent="0.35">
      <c r="A22" s="7">
        <v>90000</v>
      </c>
      <c r="B22" s="39"/>
      <c r="C22" s="15"/>
      <c r="D22" s="15"/>
      <c r="E22" s="40"/>
      <c r="F22" s="38"/>
    </row>
    <row r="23" spans="1:6" x14ac:dyDescent="0.35">
      <c r="A23" s="7">
        <v>100000</v>
      </c>
      <c r="B23" s="41"/>
      <c r="C23" s="42"/>
      <c r="D23" s="42"/>
      <c r="E23" s="43"/>
      <c r="F23" s="44"/>
    </row>
    <row r="24" spans="1:6" x14ac:dyDescent="0.35">
      <c r="A24" s="8" t="s">
        <v>1</v>
      </c>
      <c r="B24" s="45">
        <v>3.9449999999999998</v>
      </c>
      <c r="C24" s="45">
        <v>2.63</v>
      </c>
      <c r="D24" s="45">
        <v>4.0199999999999996</v>
      </c>
      <c r="E24" s="46"/>
      <c r="F24" s="18">
        <v>8.1299999999999997E-2</v>
      </c>
    </row>
    <row r="27" spans="1:6" x14ac:dyDescent="0.35">
      <c r="A27" s="1" t="s">
        <v>46</v>
      </c>
      <c r="B27" s="9" t="s">
        <v>2</v>
      </c>
      <c r="C27" s="9" t="s">
        <v>3</v>
      </c>
      <c r="D27" s="9" t="s">
        <v>4</v>
      </c>
      <c r="E27" s="9" t="s">
        <v>5</v>
      </c>
      <c r="F27" s="10" t="s">
        <v>44</v>
      </c>
    </row>
    <row r="28" spans="1:6" x14ac:dyDescent="0.35">
      <c r="A28" s="7">
        <v>20000</v>
      </c>
      <c r="B28" s="35">
        <v>2.3159999999999998</v>
      </c>
      <c r="C28" s="36">
        <v>1.7490000000000001</v>
      </c>
      <c r="D28" s="36">
        <v>1.5009999999999999</v>
      </c>
      <c r="E28" s="37"/>
      <c r="F28" s="38"/>
    </row>
    <row r="29" spans="1:6" x14ac:dyDescent="0.35">
      <c r="A29" s="7">
        <v>30000</v>
      </c>
      <c r="B29" s="39">
        <v>1.9790000000000001</v>
      </c>
      <c r="C29" s="15">
        <v>2.3849999999999998</v>
      </c>
      <c r="D29" s="15">
        <v>1.768</v>
      </c>
      <c r="E29" s="40"/>
      <c r="F29" s="38"/>
    </row>
    <row r="30" spans="1:6" x14ac:dyDescent="0.35">
      <c r="A30" s="7">
        <v>40000</v>
      </c>
      <c r="B30" s="39">
        <v>2.37</v>
      </c>
      <c r="C30" s="15">
        <v>2.444</v>
      </c>
      <c r="D30" s="15">
        <v>2.2120000000000002</v>
      </c>
      <c r="E30" s="40"/>
      <c r="F30" s="38"/>
    </row>
    <row r="31" spans="1:6" x14ac:dyDescent="0.35">
      <c r="A31" s="7">
        <v>50000</v>
      </c>
      <c r="B31" s="39">
        <v>3.17</v>
      </c>
      <c r="C31" s="15">
        <v>2.57</v>
      </c>
      <c r="D31" s="15">
        <v>2.4900000000000002</v>
      </c>
      <c r="E31" s="40"/>
      <c r="F31" s="38"/>
    </row>
    <row r="32" spans="1:6" x14ac:dyDescent="0.35">
      <c r="A32" s="7">
        <v>60000</v>
      </c>
      <c r="B32" s="39">
        <v>3.2130000000000001</v>
      </c>
      <c r="C32" s="15">
        <v>2.2509999999999999</v>
      </c>
      <c r="D32" s="15">
        <v>2.2480000000000002</v>
      </c>
      <c r="E32" s="40"/>
      <c r="F32" s="38"/>
    </row>
    <row r="33" spans="1:6" x14ac:dyDescent="0.35">
      <c r="A33" s="7">
        <v>70000</v>
      </c>
      <c r="B33" s="39"/>
      <c r="C33" s="15"/>
      <c r="D33" s="15"/>
      <c r="E33" s="40"/>
      <c r="F33" s="38"/>
    </row>
    <row r="34" spans="1:6" x14ac:dyDescent="0.35">
      <c r="A34" s="7">
        <v>80000</v>
      </c>
      <c r="B34" s="39"/>
      <c r="C34" s="15"/>
      <c r="D34" s="15"/>
      <c r="E34" s="40"/>
      <c r="F34" s="38"/>
    </row>
    <row r="35" spans="1:6" x14ac:dyDescent="0.35">
      <c r="A35" s="7">
        <v>90000</v>
      </c>
      <c r="B35" s="39"/>
      <c r="C35" s="15"/>
      <c r="D35" s="15"/>
      <c r="E35" s="40"/>
      <c r="F35" s="38"/>
    </row>
    <row r="36" spans="1:6" x14ac:dyDescent="0.35">
      <c r="A36" s="7">
        <v>100000</v>
      </c>
      <c r="B36" s="41"/>
      <c r="C36" s="42"/>
      <c r="D36" s="42"/>
      <c r="E36" s="43"/>
      <c r="F36" s="44"/>
    </row>
    <row r="37" spans="1:6" x14ac:dyDescent="0.35">
      <c r="A37" s="8" t="s">
        <v>1</v>
      </c>
      <c r="B37" s="45">
        <v>3.9649999999999999</v>
      </c>
      <c r="C37" s="45">
        <v>2.89</v>
      </c>
      <c r="D37" s="45">
        <v>3.37</v>
      </c>
      <c r="E37" s="46"/>
      <c r="F37" s="18">
        <v>0.68600000000000005</v>
      </c>
    </row>
    <row r="40" spans="1:6" x14ac:dyDescent="0.35">
      <c r="B40">
        <f>SQRT((250/20)^2+(350/20)^2)</f>
        <v>21.505813167606568</v>
      </c>
      <c r="C40">
        <f>SQRT((250/30)^2+(350/30)^2)</f>
        <v>14.337208778404378</v>
      </c>
      <c r="D40">
        <f>SQRT((250/40)^2+(350/40)^2)</f>
        <v>10.752906583803284</v>
      </c>
      <c r="E40">
        <f>SQRT((250/50)^2+(350/50)^2)</f>
        <v>8.6023252670426267</v>
      </c>
      <c r="F40">
        <f>SQRT(0.3336451^2+0.4638212^2)</f>
        <v>0.57135729480199171</v>
      </c>
    </row>
    <row r="41" spans="1:6" x14ac:dyDescent="0.35">
      <c r="A41" s="1" t="s">
        <v>47</v>
      </c>
      <c r="B41" s="48" t="s">
        <v>2</v>
      </c>
      <c r="C41" s="9" t="s">
        <v>3</v>
      </c>
      <c r="D41" s="9" t="s">
        <v>4</v>
      </c>
      <c r="E41" s="9" t="s">
        <v>5</v>
      </c>
      <c r="F41" s="10" t="s">
        <v>44</v>
      </c>
    </row>
    <row r="42" spans="1:6" x14ac:dyDescent="0.35">
      <c r="A42" s="47">
        <v>20000</v>
      </c>
      <c r="B42" s="35">
        <f>B28/B$40</f>
        <v>0.10769181253227417</v>
      </c>
      <c r="C42" s="15">
        <f t="shared" ref="C42:D42" si="0">C28/C$40</f>
        <v>0.12199027209776396</v>
      </c>
      <c r="D42" s="15">
        <f t="shared" si="0"/>
        <v>0.13959016460357818</v>
      </c>
      <c r="E42" s="37"/>
      <c r="F42" s="38"/>
    </row>
    <row r="43" spans="1:6" x14ac:dyDescent="0.35">
      <c r="A43" s="47">
        <v>30000</v>
      </c>
      <c r="B43" s="39">
        <f t="shared" ref="B43:D46" si="1">B29/B$40</f>
        <v>9.2021630829607334E-2</v>
      </c>
      <c r="C43" s="15">
        <f t="shared" si="1"/>
        <v>0.16635037104240538</v>
      </c>
      <c r="D43" s="15">
        <f t="shared" si="1"/>
        <v>0.16442066023925797</v>
      </c>
      <c r="E43" s="40"/>
      <c r="F43" s="38"/>
    </row>
    <row r="44" spans="1:6" x14ac:dyDescent="0.35">
      <c r="A44" s="47">
        <v>40000</v>
      </c>
      <c r="B44" s="39">
        <f t="shared" si="1"/>
        <v>0.11020276152914067</v>
      </c>
      <c r="C44" s="15">
        <f t="shared" si="1"/>
        <v>0.17046553745393658</v>
      </c>
      <c r="D44" s="15">
        <f t="shared" si="1"/>
        <v>0.2057118215210626</v>
      </c>
      <c r="E44" s="40"/>
      <c r="F44" s="38"/>
    </row>
    <row r="45" spans="1:6" x14ac:dyDescent="0.35">
      <c r="A45" s="47">
        <v>50000</v>
      </c>
      <c r="B45" s="39">
        <f t="shared" si="1"/>
        <v>0.14740200592716282</v>
      </c>
      <c r="C45" s="15">
        <f t="shared" si="1"/>
        <v>0.17925385894296933</v>
      </c>
      <c r="D45" s="15">
        <f t="shared" si="1"/>
        <v>0.23156529637768802</v>
      </c>
      <c r="E45" s="40"/>
      <c r="F45" s="38"/>
    </row>
    <row r="46" spans="1:6" x14ac:dyDescent="0.35">
      <c r="A46" s="47">
        <v>60000</v>
      </c>
      <c r="B46" s="39">
        <f t="shared" si="1"/>
        <v>0.14940146531355653</v>
      </c>
      <c r="C46" s="15">
        <f t="shared" si="1"/>
        <v>0.15700406088740232</v>
      </c>
      <c r="D46" s="15">
        <f t="shared" si="1"/>
        <v>0.20905975351688461</v>
      </c>
      <c r="E46" s="40"/>
      <c r="F46" s="38"/>
    </row>
    <row r="47" spans="1:6" x14ac:dyDescent="0.35">
      <c r="A47" s="7">
        <v>70000</v>
      </c>
      <c r="B47" s="39"/>
      <c r="C47" s="15"/>
      <c r="D47" s="15"/>
      <c r="E47" s="40"/>
      <c r="F47" s="38"/>
    </row>
    <row r="48" spans="1:6" x14ac:dyDescent="0.35">
      <c r="A48" s="7">
        <v>80000</v>
      </c>
      <c r="B48" s="39"/>
      <c r="C48" s="15"/>
      <c r="D48" s="15"/>
      <c r="E48" s="40"/>
      <c r="F48" s="38"/>
    </row>
    <row r="49" spans="1:6" x14ac:dyDescent="0.35">
      <c r="A49" s="7">
        <v>90000</v>
      </c>
      <c r="B49" s="39"/>
      <c r="C49" s="15"/>
      <c r="D49" s="15"/>
      <c r="E49" s="40"/>
      <c r="F49" s="38"/>
    </row>
    <row r="50" spans="1:6" x14ac:dyDescent="0.35">
      <c r="A50" s="7">
        <v>100000</v>
      </c>
      <c r="B50" s="41"/>
      <c r="C50" s="42"/>
      <c r="D50" s="42"/>
      <c r="E50" s="43"/>
      <c r="F50" s="44"/>
    </row>
    <row r="51" spans="1:6" x14ac:dyDescent="0.35">
      <c r="A51" s="8" t="s">
        <v>1</v>
      </c>
      <c r="B51" s="45">
        <f t="shared" ref="B51:F51" si="2">B37/B$40</f>
        <v>0.18436875504769737</v>
      </c>
      <c r="C51" s="45">
        <f t="shared" si="2"/>
        <v>0.20157340558178263</v>
      </c>
      <c r="D51" s="45">
        <f t="shared" si="2"/>
        <v>0.31340363405333677</v>
      </c>
      <c r="E51" s="46"/>
      <c r="F51" s="18">
        <f t="shared" si="2"/>
        <v>1.200649761963289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C208-D8AD-482D-9C6D-390E7734B568}">
  <dimension ref="A1:G18"/>
  <sheetViews>
    <sheetView workbookViewId="0">
      <selection activeCell="E18" sqref="E18"/>
    </sheetView>
  </sheetViews>
  <sheetFormatPr baseColWidth="10" defaultRowHeight="14.5" x14ac:dyDescent="0.35"/>
  <cols>
    <col min="4" max="4" width="19" customWidth="1"/>
  </cols>
  <sheetData>
    <row r="1" spans="1:7" ht="29" x14ac:dyDescent="0.35">
      <c r="A1" s="12" t="s">
        <v>6</v>
      </c>
      <c r="B1" s="9" t="s">
        <v>0</v>
      </c>
      <c r="C1" s="9" t="s">
        <v>9</v>
      </c>
      <c r="D1" s="14" t="s">
        <v>8</v>
      </c>
      <c r="E1" s="10" t="s">
        <v>7</v>
      </c>
      <c r="F1" s="50" t="s">
        <v>43</v>
      </c>
      <c r="G1" s="51"/>
    </row>
    <row r="2" spans="1:7" x14ac:dyDescent="0.35">
      <c r="A2" s="11">
        <v>400</v>
      </c>
      <c r="B2" s="13">
        <v>20000</v>
      </c>
      <c r="C2" s="15">
        <f t="shared" ref="C2:C13" si="0">A2*(PI()*B2*B2)/(350000*250000)</f>
        <v>5.744626566564194</v>
      </c>
      <c r="D2" s="11">
        <v>5.1702000000000004</v>
      </c>
      <c r="E2" s="16">
        <v>0.84</v>
      </c>
      <c r="F2">
        <f>AVERAGE(D$2:D$4)-D2</f>
        <v>7.4331999999999985</v>
      </c>
      <c r="G2" s="24">
        <f>AVERAGE(E$2:E$4)-E2</f>
        <v>-9.3333333333333268E-2</v>
      </c>
    </row>
    <row r="3" spans="1:7" x14ac:dyDescent="0.35">
      <c r="A3" s="11">
        <v>900</v>
      </c>
      <c r="B3" s="13">
        <v>20000</v>
      </c>
      <c r="C3" s="15">
        <f t="shared" si="0"/>
        <v>12.925409774769436</v>
      </c>
      <c r="D3" s="11">
        <v>14.1777</v>
      </c>
      <c r="E3" s="16">
        <v>0.67</v>
      </c>
      <c r="F3">
        <f t="shared" ref="F3:G4" si="1">AVERAGE(D$2:D$4)-D3</f>
        <v>-1.5743000000000009</v>
      </c>
      <c r="G3" s="24">
        <f t="shared" si="1"/>
        <v>7.6666666666666661E-2</v>
      </c>
    </row>
    <row r="4" spans="1:7" x14ac:dyDescent="0.35">
      <c r="A4" s="11">
        <v>1600</v>
      </c>
      <c r="B4" s="13">
        <v>20000</v>
      </c>
      <c r="C4" s="15">
        <f t="shared" si="0"/>
        <v>22.978506266256776</v>
      </c>
      <c r="D4" s="11">
        <v>18.462299999999999</v>
      </c>
      <c r="E4" s="16">
        <v>0.73</v>
      </c>
      <c r="F4">
        <f t="shared" si="1"/>
        <v>-5.8589000000000002</v>
      </c>
      <c r="G4" s="24">
        <f t="shared" si="1"/>
        <v>1.6666666666666718E-2</v>
      </c>
    </row>
    <row r="5" spans="1:7" x14ac:dyDescent="0.35">
      <c r="A5" s="11">
        <v>400</v>
      </c>
      <c r="B5" s="13">
        <v>30000</v>
      </c>
      <c r="C5" s="15">
        <f t="shared" si="0"/>
        <v>12.925409774769436</v>
      </c>
      <c r="D5" s="11">
        <v>12.314</v>
      </c>
      <c r="E5" s="16">
        <v>0.94</v>
      </c>
      <c r="F5">
        <f>AVERAGE(D$5:D$7)-D5</f>
        <v>16.988366666666668</v>
      </c>
      <c r="G5" s="24">
        <f>AVERAGE(E$5:E$7)-E5</f>
        <v>-0.1166666666666667</v>
      </c>
    </row>
    <row r="6" spans="1:7" x14ac:dyDescent="0.35">
      <c r="A6" s="11">
        <v>900</v>
      </c>
      <c r="B6" s="13">
        <v>30000</v>
      </c>
      <c r="C6" s="15">
        <f t="shared" si="0"/>
        <v>29.082171993231228</v>
      </c>
      <c r="D6" s="11">
        <v>28.543500000000002</v>
      </c>
      <c r="E6" s="16">
        <v>0.8</v>
      </c>
      <c r="F6">
        <f t="shared" ref="F6:G7" si="2">AVERAGE(D$5:D$7)-D6</f>
        <v>0.75886666666666613</v>
      </c>
      <c r="G6" s="24">
        <f t="shared" si="2"/>
        <v>2.3333333333333206E-2</v>
      </c>
    </row>
    <row r="7" spans="1:7" x14ac:dyDescent="0.35">
      <c r="A7" s="11">
        <v>1600</v>
      </c>
      <c r="B7" s="13">
        <v>30000</v>
      </c>
      <c r="C7" s="15">
        <f t="shared" si="0"/>
        <v>51.701639099077745</v>
      </c>
      <c r="D7" s="11">
        <v>47.049599999999998</v>
      </c>
      <c r="E7" s="16">
        <v>0.73</v>
      </c>
      <c r="F7">
        <f t="shared" si="2"/>
        <v>-17.74723333333333</v>
      </c>
      <c r="G7" s="24">
        <f t="shared" si="2"/>
        <v>9.3333333333333268E-2</v>
      </c>
    </row>
    <row r="8" spans="1:7" x14ac:dyDescent="0.35">
      <c r="A8" s="11">
        <v>400</v>
      </c>
      <c r="B8" s="13">
        <v>40000</v>
      </c>
      <c r="C8" s="15">
        <f t="shared" si="0"/>
        <v>22.978506266256776</v>
      </c>
      <c r="D8" s="11">
        <v>22.437000000000001</v>
      </c>
      <c r="E8" s="16">
        <v>0.9</v>
      </c>
      <c r="F8">
        <f>AVERAGE(D$8:D$10)-D8</f>
        <v>31.40816666666667</v>
      </c>
      <c r="G8" s="24">
        <f>AVERAGE(E$8:E$10)-E8</f>
        <v>-5.0000000000000044E-2</v>
      </c>
    </row>
    <row r="9" spans="1:7" x14ac:dyDescent="0.35">
      <c r="A9" s="11">
        <v>900</v>
      </c>
      <c r="B9" s="13">
        <v>40000</v>
      </c>
      <c r="C9" s="15">
        <f t="shared" si="0"/>
        <v>51.701639099077745</v>
      </c>
      <c r="D9" s="11">
        <v>50.112299999999998</v>
      </c>
      <c r="E9" s="16">
        <v>0.84</v>
      </c>
      <c r="F9">
        <f t="shared" ref="F9:G10" si="3">AVERAGE(D$8:D$10)-D9</f>
        <v>3.7328666666666734</v>
      </c>
      <c r="G9" s="24">
        <f t="shared" si="3"/>
        <v>1.0000000000000009E-2</v>
      </c>
    </row>
    <row r="10" spans="1:7" x14ac:dyDescent="0.35">
      <c r="A10" s="11">
        <v>1600</v>
      </c>
      <c r="B10" s="13">
        <v>40000</v>
      </c>
      <c r="C10" s="15">
        <f t="shared" si="0"/>
        <v>91.914025065027104</v>
      </c>
      <c r="D10" s="11">
        <v>88.986199999999997</v>
      </c>
      <c r="E10" s="16">
        <v>0.81</v>
      </c>
      <c r="F10">
        <f t="shared" si="3"/>
        <v>-35.141033333333326</v>
      </c>
      <c r="G10" s="24">
        <f t="shared" si="3"/>
        <v>3.9999999999999925E-2</v>
      </c>
    </row>
    <row r="11" spans="1:7" x14ac:dyDescent="0.35">
      <c r="A11" s="11">
        <v>400</v>
      </c>
      <c r="B11" s="13">
        <v>50000</v>
      </c>
      <c r="C11" s="15">
        <f t="shared" si="0"/>
        <v>35.903916041026207</v>
      </c>
      <c r="D11" s="11">
        <v>37.187800000000003</v>
      </c>
      <c r="E11" s="16">
        <v>0.85</v>
      </c>
      <c r="F11">
        <f>AVERAGE(D$11:D$13)-D11</f>
        <v>51.069866666666677</v>
      </c>
      <c r="G11" s="24">
        <f>AVERAGE(E$11:E$13)-E11</f>
        <v>-5.3333333333333233E-2</v>
      </c>
    </row>
    <row r="12" spans="1:7" x14ac:dyDescent="0.35">
      <c r="A12" s="11">
        <v>900</v>
      </c>
      <c r="B12" s="13">
        <v>50000</v>
      </c>
      <c r="C12" s="15">
        <f t="shared" si="0"/>
        <v>80.783811092308966</v>
      </c>
      <c r="D12" s="11">
        <v>81.055599999999998</v>
      </c>
      <c r="E12" s="16">
        <v>0.87</v>
      </c>
      <c r="F12">
        <f t="shared" ref="F12:G13" si="4">AVERAGE(D$11:D$13)-D12</f>
        <v>7.2020666666666813</v>
      </c>
      <c r="G12" s="24">
        <f t="shared" si="4"/>
        <v>-7.333333333333325E-2</v>
      </c>
    </row>
    <row r="13" spans="1:7" x14ac:dyDescent="0.35">
      <c r="A13" s="4">
        <v>1600</v>
      </c>
      <c r="B13" s="17">
        <v>50000</v>
      </c>
      <c r="C13" s="18">
        <f t="shared" si="0"/>
        <v>143.61566416410483</v>
      </c>
      <c r="D13" s="4">
        <v>146.52959999999999</v>
      </c>
      <c r="E13" s="23">
        <v>0.67</v>
      </c>
      <c r="F13">
        <f t="shared" si="4"/>
        <v>-58.271933333333308</v>
      </c>
      <c r="G13" s="24">
        <f t="shared" si="4"/>
        <v>0.12666666666666671</v>
      </c>
    </row>
    <row r="15" spans="1:7" x14ac:dyDescent="0.35">
      <c r="C15" t="s">
        <v>40</v>
      </c>
      <c r="D15" t="s">
        <v>41</v>
      </c>
      <c r="E15" t="s">
        <v>42</v>
      </c>
    </row>
    <row r="16" spans="1:7" x14ac:dyDescent="0.35">
      <c r="B16" t="s">
        <v>37</v>
      </c>
      <c r="C16">
        <f>CORREL(D2:D13,E2:E13)</f>
        <v>-0.33295316841101658</v>
      </c>
      <c r="D16">
        <f>CORREL(A2:A13,E2:E13)</f>
        <v>-0.71030150993185215</v>
      </c>
      <c r="E16">
        <f>CORREL(B2:B13,E2:E13)</f>
        <v>0.23651524331556589</v>
      </c>
    </row>
    <row r="17" spans="2:5" x14ac:dyDescent="0.35">
      <c r="B17" t="s">
        <v>38</v>
      </c>
      <c r="C17">
        <f>C16^2</f>
        <v>0.11085781235493476</v>
      </c>
      <c r="D17">
        <f>D16^2</f>
        <v>0.50452823501146904</v>
      </c>
      <c r="E17">
        <f>E16^2</f>
        <v>5.5939460320621338E-2</v>
      </c>
    </row>
    <row r="18" spans="2:5" x14ac:dyDescent="0.35">
      <c r="B18" t="s">
        <v>39</v>
      </c>
      <c r="C18" s="49">
        <f>Feuil3!E18</f>
        <v>0.29027601190352992</v>
      </c>
      <c r="D18" s="49">
        <f>Feuil4!E18</f>
        <v>9.6369964397624193E-3</v>
      </c>
      <c r="E18" s="49">
        <f>Feuil5!E18</f>
        <v>0.4592354145343539</v>
      </c>
    </row>
  </sheetData>
  <sortState ref="A2:G13">
    <sortCondition ref="B2:B13"/>
  </sortState>
  <mergeCells count="1">
    <mergeCell ref="F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0F44-D43D-4B5A-8F42-6D141C967BF8}">
  <dimension ref="A1:I36"/>
  <sheetViews>
    <sheetView workbookViewId="0">
      <selection activeCell="E18" sqref="E18"/>
    </sheetView>
  </sheetViews>
  <sheetFormatPr baseColWidth="10" defaultRowHeight="14.5" x14ac:dyDescent="0.35"/>
  <sheetData>
    <row r="1" spans="1:9" x14ac:dyDescent="0.35">
      <c r="A1" t="s">
        <v>10</v>
      </c>
    </row>
    <row r="2" spans="1:9" ht="15" thickBot="1" x14ac:dyDescent="0.4"/>
    <row r="3" spans="1:9" x14ac:dyDescent="0.35">
      <c r="A3" s="22" t="s">
        <v>11</v>
      </c>
      <c r="B3" s="22"/>
    </row>
    <row r="4" spans="1:9" x14ac:dyDescent="0.35">
      <c r="A4" s="19" t="s">
        <v>12</v>
      </c>
      <c r="B4" s="19">
        <v>0.33295316841101696</v>
      </c>
    </row>
    <row r="5" spans="1:9" x14ac:dyDescent="0.35">
      <c r="A5" s="19" t="s">
        <v>13</v>
      </c>
      <c r="B5" s="19">
        <v>0.11085781235493501</v>
      </c>
    </row>
    <row r="6" spans="1:9" x14ac:dyDescent="0.35">
      <c r="A6" s="19" t="s">
        <v>13</v>
      </c>
      <c r="B6" s="19">
        <v>2.1943593590428523E-2</v>
      </c>
    </row>
    <row r="7" spans="1:9" x14ac:dyDescent="0.35">
      <c r="A7" s="19" t="s">
        <v>14</v>
      </c>
      <c r="B7" s="19">
        <v>8.6263428860474556E-2</v>
      </c>
    </row>
    <row r="8" spans="1:9" ht="15" thickBot="1" x14ac:dyDescent="0.4">
      <c r="A8" s="20" t="s">
        <v>15</v>
      </c>
      <c r="B8" s="20">
        <v>12</v>
      </c>
    </row>
    <row r="10" spans="1:9" ht="15" thickBot="1" x14ac:dyDescent="0.4">
      <c r="A10" t="s">
        <v>16</v>
      </c>
    </row>
    <row r="11" spans="1:9" x14ac:dyDescent="0.35">
      <c r="A11" s="21"/>
      <c r="B11" s="21" t="s">
        <v>21</v>
      </c>
      <c r="C11" s="21" t="s">
        <v>22</v>
      </c>
      <c r="D11" s="21" t="s">
        <v>23</v>
      </c>
      <c r="E11" s="21" t="s">
        <v>24</v>
      </c>
      <c r="F11" s="21" t="s">
        <v>25</v>
      </c>
    </row>
    <row r="12" spans="1:9" x14ac:dyDescent="0.35">
      <c r="A12" s="19" t="s">
        <v>17</v>
      </c>
      <c r="B12" s="19">
        <v>1</v>
      </c>
      <c r="C12" s="19">
        <v>9.277875079005099E-3</v>
      </c>
      <c r="D12" s="19">
        <v>9.277875079005099E-3</v>
      </c>
      <c r="E12" s="19">
        <v>1.2467951008887246</v>
      </c>
      <c r="F12" s="19">
        <v>0.29027601190352897</v>
      </c>
    </row>
    <row r="13" spans="1:9" x14ac:dyDescent="0.35">
      <c r="A13" s="19" t="s">
        <v>18</v>
      </c>
      <c r="B13" s="19">
        <v>10</v>
      </c>
      <c r="C13" s="19">
        <v>7.4413791587661537E-2</v>
      </c>
      <c r="D13" s="19">
        <v>7.4413791587661536E-3</v>
      </c>
      <c r="E13" s="19"/>
      <c r="F13" s="19"/>
    </row>
    <row r="14" spans="1:9" ht="15" thickBot="1" x14ac:dyDescent="0.4">
      <c r="A14" s="20" t="s">
        <v>19</v>
      </c>
      <c r="B14" s="20">
        <v>11</v>
      </c>
      <c r="C14" s="20">
        <v>8.3691666666666636E-2</v>
      </c>
      <c r="D14" s="20"/>
      <c r="E14" s="20"/>
      <c r="F14" s="20"/>
    </row>
    <row r="15" spans="1:9" ht="15" thickBot="1" x14ac:dyDescent="0.4"/>
    <row r="16" spans="1:9" x14ac:dyDescent="0.35">
      <c r="A16" s="21"/>
      <c r="B16" s="21" t="s">
        <v>26</v>
      </c>
      <c r="C16" s="21" t="s">
        <v>14</v>
      </c>
      <c r="D16" s="21" t="s">
        <v>27</v>
      </c>
      <c r="E16" s="21" t="s">
        <v>28</v>
      </c>
      <c r="F16" s="21" t="s">
        <v>29</v>
      </c>
      <c r="G16" s="21" t="s">
        <v>30</v>
      </c>
      <c r="H16" s="21" t="s">
        <v>31</v>
      </c>
      <c r="I16" s="21" t="s">
        <v>32</v>
      </c>
    </row>
    <row r="17" spans="1:9" x14ac:dyDescent="0.35">
      <c r="A17" s="19" t="s">
        <v>20</v>
      </c>
      <c r="B17" s="19">
        <v>0.83655958935546226</v>
      </c>
      <c r="C17" s="19">
        <v>3.8232366836506652E-2</v>
      </c>
      <c r="D17" s="19">
        <v>21.880925994795145</v>
      </c>
      <c r="E17" s="19">
        <v>8.8979828276955512E-10</v>
      </c>
      <c r="F17" s="19">
        <v>0.75137256740365022</v>
      </c>
      <c r="G17" s="19">
        <v>0.92174661130727431</v>
      </c>
      <c r="H17" s="19">
        <v>0.75137256740365022</v>
      </c>
      <c r="I17" s="19">
        <v>0.92174661130727431</v>
      </c>
    </row>
    <row r="18" spans="1:9" ht="15" thickBot="1" x14ac:dyDescent="0.4">
      <c r="A18" s="20" t="s">
        <v>33</v>
      </c>
      <c r="B18" s="20">
        <v>-7.0416105961994323E-4</v>
      </c>
      <c r="C18" s="20">
        <v>6.3062975932979713E-4</v>
      </c>
      <c r="D18" s="20">
        <v>-1.1165997944154928</v>
      </c>
      <c r="E18" s="20">
        <v>0.29027601190352992</v>
      </c>
      <c r="F18" s="20">
        <v>-2.109291727601418E-3</v>
      </c>
      <c r="G18" s="20">
        <v>7.0096960836153147E-4</v>
      </c>
      <c r="H18" s="20">
        <v>-2.109291727601418E-3</v>
      </c>
      <c r="I18" s="20">
        <v>7.0096960836153147E-4</v>
      </c>
    </row>
    <row r="22" spans="1:9" x14ac:dyDescent="0.35">
      <c r="A22" t="s">
        <v>34</v>
      </c>
    </row>
    <row r="23" spans="1:9" ht="15" thickBot="1" x14ac:dyDescent="0.4"/>
    <row r="24" spans="1:9" x14ac:dyDescent="0.35">
      <c r="A24" s="21" t="s">
        <v>35</v>
      </c>
      <c r="B24" s="21" t="s">
        <v>36</v>
      </c>
      <c r="C24" s="21" t="s">
        <v>18</v>
      </c>
    </row>
    <row r="25" spans="1:9" x14ac:dyDescent="0.35">
      <c r="A25" s="19">
        <v>1</v>
      </c>
      <c r="B25" s="19">
        <v>0.8329189358450152</v>
      </c>
      <c r="C25" s="19">
        <v>7.081064154984773E-3</v>
      </c>
    </row>
    <row r="26" spans="1:9" x14ac:dyDescent="0.35">
      <c r="A26" s="19">
        <v>2</v>
      </c>
      <c r="B26" s="19">
        <v>0.82788855006730233</v>
      </c>
      <c r="C26" s="19">
        <v>0.11211144993269762</v>
      </c>
    </row>
    <row r="27" spans="1:9" x14ac:dyDescent="0.35">
      <c r="A27" s="19">
        <v>3</v>
      </c>
      <c r="B27" s="19">
        <v>0.82076032766076956</v>
      </c>
      <c r="C27" s="19">
        <v>7.923967233923046E-2</v>
      </c>
    </row>
    <row r="28" spans="1:9" x14ac:dyDescent="0.35">
      <c r="A28" s="19">
        <v>4</v>
      </c>
      <c r="B28" s="19">
        <v>0.81037338870252773</v>
      </c>
      <c r="C28" s="19">
        <v>3.9626611297472247E-2</v>
      </c>
    </row>
    <row r="29" spans="1:9" x14ac:dyDescent="0.35">
      <c r="A29" s="19">
        <v>5</v>
      </c>
      <c r="B29" s="19">
        <v>0.82657620510048857</v>
      </c>
      <c r="C29" s="19">
        <v>-0.15657620510048853</v>
      </c>
    </row>
    <row r="30" spans="1:9" x14ac:dyDescent="0.35">
      <c r="A30" s="19">
        <v>6</v>
      </c>
      <c r="B30" s="19">
        <v>0.8164603681502004</v>
      </c>
      <c r="C30" s="19">
        <v>-1.6460368150200355E-2</v>
      </c>
    </row>
    <row r="31" spans="1:9" x14ac:dyDescent="0.35">
      <c r="A31" s="19">
        <v>7</v>
      </c>
      <c r="B31" s="19">
        <v>0.8012724590874698</v>
      </c>
      <c r="C31" s="19">
        <v>3.8727540912530167E-2</v>
      </c>
    </row>
    <row r="32" spans="1:9" x14ac:dyDescent="0.35">
      <c r="A32" s="19">
        <v>8</v>
      </c>
      <c r="B32" s="19">
        <v>0.779483392171332</v>
      </c>
      <c r="C32" s="19">
        <v>9.0516607828667994E-2</v>
      </c>
    </row>
    <row r="33" spans="1:3" x14ac:dyDescent="0.35">
      <c r="A33" s="19">
        <v>9</v>
      </c>
      <c r="B33" s="19">
        <v>0.82355915662444101</v>
      </c>
      <c r="C33" s="19">
        <v>-9.3559156624441031E-2</v>
      </c>
    </row>
    <row r="34" spans="1:3" x14ac:dyDescent="0.35">
      <c r="A34" s="19">
        <v>10</v>
      </c>
      <c r="B34" s="19">
        <v>0.80342909316476774</v>
      </c>
      <c r="C34" s="19">
        <v>-7.3429093164767756E-2</v>
      </c>
    </row>
    <row r="35" spans="1:3" x14ac:dyDescent="0.35">
      <c r="A35" s="19">
        <v>11</v>
      </c>
      <c r="B35" s="19">
        <v>0.77389897247191008</v>
      </c>
      <c r="C35" s="19">
        <v>3.6101027528089968E-2</v>
      </c>
    </row>
    <row r="36" spans="1:3" ht="15" thickBot="1" x14ac:dyDescent="0.4">
      <c r="A36" s="20">
        <v>12</v>
      </c>
      <c r="B36" s="20">
        <v>0.73337915095377582</v>
      </c>
      <c r="C36" s="20">
        <v>-6.3379150953775776E-2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8E03-8F0A-43D3-A70F-CC618BFF8946}">
  <dimension ref="A1:I36"/>
  <sheetViews>
    <sheetView workbookViewId="0">
      <selection activeCell="E18" sqref="E18"/>
    </sheetView>
  </sheetViews>
  <sheetFormatPr baseColWidth="10" defaultRowHeight="14.5" x14ac:dyDescent="0.35"/>
  <sheetData>
    <row r="1" spans="1:9" x14ac:dyDescent="0.35">
      <c r="A1" t="s">
        <v>10</v>
      </c>
    </row>
    <row r="2" spans="1:9" ht="15" thickBot="1" x14ac:dyDescent="0.4"/>
    <row r="3" spans="1:9" x14ac:dyDescent="0.35">
      <c r="A3" s="22" t="s">
        <v>11</v>
      </c>
      <c r="B3" s="22"/>
    </row>
    <row r="4" spans="1:9" x14ac:dyDescent="0.35">
      <c r="A4" s="19" t="s">
        <v>12</v>
      </c>
      <c r="B4" s="19">
        <v>0.71030150993185226</v>
      </c>
    </row>
    <row r="5" spans="1:9" x14ac:dyDescent="0.35">
      <c r="A5" s="19" t="s">
        <v>13</v>
      </c>
      <c r="B5" s="19">
        <v>0.50452823501146915</v>
      </c>
    </row>
    <row r="6" spans="1:9" x14ac:dyDescent="0.35">
      <c r="A6" s="19" t="s">
        <v>13</v>
      </c>
      <c r="B6" s="19">
        <v>0.45498105851261605</v>
      </c>
    </row>
    <row r="7" spans="1:9" x14ac:dyDescent="0.35">
      <c r="A7" s="19" t="s">
        <v>14</v>
      </c>
      <c r="B7" s="19">
        <v>6.4394765158485606E-2</v>
      </c>
    </row>
    <row r="8" spans="1:9" ht="15" thickBot="1" x14ac:dyDescent="0.4">
      <c r="A8" s="20" t="s">
        <v>15</v>
      </c>
      <c r="B8" s="20">
        <v>12</v>
      </c>
    </row>
    <row r="10" spans="1:9" ht="15" thickBot="1" x14ac:dyDescent="0.4">
      <c r="A10" t="s">
        <v>16</v>
      </c>
    </row>
    <row r="11" spans="1:9" x14ac:dyDescent="0.35">
      <c r="A11" s="21"/>
      <c r="B11" s="21" t="s">
        <v>21</v>
      </c>
      <c r="C11" s="21" t="s">
        <v>22</v>
      </c>
      <c r="D11" s="21" t="s">
        <v>23</v>
      </c>
      <c r="E11" s="21" t="s">
        <v>24</v>
      </c>
      <c r="F11" s="21" t="s">
        <v>25</v>
      </c>
    </row>
    <row r="12" spans="1:9" x14ac:dyDescent="0.35">
      <c r="A12" s="19" t="s">
        <v>17</v>
      </c>
      <c r="B12" s="19">
        <v>1</v>
      </c>
      <c r="C12" s="19">
        <v>4.2224808868501523E-2</v>
      </c>
      <c r="D12" s="19">
        <v>4.2224808868501523E-2</v>
      </c>
      <c r="E12" s="19">
        <v>10.182784785388284</v>
      </c>
      <c r="F12" s="19">
        <v>9.6369964397623777E-3</v>
      </c>
    </row>
    <row r="13" spans="1:9" x14ac:dyDescent="0.35">
      <c r="A13" s="19" t="s">
        <v>18</v>
      </c>
      <c r="B13" s="19">
        <v>10</v>
      </c>
      <c r="C13" s="19">
        <v>4.1466857798165113E-2</v>
      </c>
      <c r="D13" s="19">
        <v>4.1466857798165115E-3</v>
      </c>
      <c r="E13" s="19"/>
      <c r="F13" s="19"/>
    </row>
    <row r="14" spans="1:9" ht="15" thickBot="1" x14ac:dyDescent="0.4">
      <c r="A14" s="20" t="s">
        <v>19</v>
      </c>
      <c r="B14" s="20">
        <v>11</v>
      </c>
      <c r="C14" s="20">
        <v>8.3691666666666636E-2</v>
      </c>
      <c r="D14" s="20"/>
      <c r="E14" s="20"/>
      <c r="F14" s="20"/>
    </row>
    <row r="15" spans="1:9" ht="15" thickBot="1" x14ac:dyDescent="0.4"/>
    <row r="16" spans="1:9" x14ac:dyDescent="0.35">
      <c r="A16" s="21"/>
      <c r="B16" s="21" t="s">
        <v>26</v>
      </c>
      <c r="C16" s="21" t="s">
        <v>14</v>
      </c>
      <c r="D16" s="21" t="s">
        <v>27</v>
      </c>
      <c r="E16" s="21" t="s">
        <v>28</v>
      </c>
      <c r="F16" s="21" t="s">
        <v>29</v>
      </c>
      <c r="G16" s="21" t="s">
        <v>30</v>
      </c>
      <c r="H16" s="21" t="s">
        <v>31</v>
      </c>
      <c r="I16" s="21" t="s">
        <v>32</v>
      </c>
    </row>
    <row r="17" spans="1:9" x14ac:dyDescent="0.35">
      <c r="A17" s="19" t="s">
        <v>20</v>
      </c>
      <c r="B17" s="19">
        <v>0.92067660550458708</v>
      </c>
      <c r="C17" s="19">
        <v>4.097129337779775E-2</v>
      </c>
      <c r="D17" s="19">
        <v>22.471260475352718</v>
      </c>
      <c r="E17" s="19">
        <v>6.8515281077536288E-10</v>
      </c>
      <c r="F17" s="19">
        <v>0.82938687491338792</v>
      </c>
      <c r="G17" s="19">
        <v>1.0119663360957862</v>
      </c>
      <c r="H17" s="19">
        <v>0.82938687491338792</v>
      </c>
      <c r="I17" s="19">
        <v>1.0119663360957862</v>
      </c>
    </row>
    <row r="18" spans="1:9" ht="15" thickBot="1" x14ac:dyDescent="0.4">
      <c r="A18" s="20" t="s">
        <v>33</v>
      </c>
      <c r="B18" s="20">
        <v>-1.2052752293577973E-4</v>
      </c>
      <c r="C18" s="20">
        <v>3.7770518664854242E-5</v>
      </c>
      <c r="D18" s="20">
        <v>-3.1910475999878583</v>
      </c>
      <c r="E18" s="20">
        <v>9.6369964397624193E-3</v>
      </c>
      <c r="F18" s="20">
        <v>-2.046854830326142E-4</v>
      </c>
      <c r="G18" s="20">
        <v>-3.6369562838945254E-5</v>
      </c>
      <c r="H18" s="20">
        <v>-2.046854830326142E-4</v>
      </c>
      <c r="I18" s="20">
        <v>-3.6369562838945254E-5</v>
      </c>
    </row>
    <row r="22" spans="1:9" x14ac:dyDescent="0.35">
      <c r="A22" t="s">
        <v>34</v>
      </c>
    </row>
    <row r="23" spans="1:9" ht="15" thickBot="1" x14ac:dyDescent="0.4"/>
    <row r="24" spans="1:9" x14ac:dyDescent="0.35">
      <c r="A24" s="21" t="s">
        <v>35</v>
      </c>
      <c r="B24" s="21" t="s">
        <v>36</v>
      </c>
      <c r="C24" s="21" t="s">
        <v>18</v>
      </c>
    </row>
    <row r="25" spans="1:9" x14ac:dyDescent="0.35">
      <c r="A25" s="19">
        <v>1</v>
      </c>
      <c r="B25" s="19">
        <v>0.87246559633027521</v>
      </c>
      <c r="C25" s="19">
        <v>-3.2465596330275237E-2</v>
      </c>
    </row>
    <row r="26" spans="1:9" x14ac:dyDescent="0.35">
      <c r="A26" s="19">
        <v>2</v>
      </c>
      <c r="B26" s="19">
        <v>0.87246559633027521</v>
      </c>
      <c r="C26" s="19">
        <v>6.7534403669724741E-2</v>
      </c>
    </row>
    <row r="27" spans="1:9" x14ac:dyDescent="0.35">
      <c r="A27" s="19">
        <v>3</v>
      </c>
      <c r="B27" s="19">
        <v>0.87246559633027521</v>
      </c>
      <c r="C27" s="19">
        <v>2.7534403669724816E-2</v>
      </c>
    </row>
    <row r="28" spans="1:9" x14ac:dyDescent="0.35">
      <c r="A28" s="19">
        <v>4</v>
      </c>
      <c r="B28" s="19">
        <v>0.87246559633027521</v>
      </c>
      <c r="C28" s="19">
        <v>-2.2465596330275228E-2</v>
      </c>
    </row>
    <row r="29" spans="1:9" x14ac:dyDescent="0.35">
      <c r="A29" s="19">
        <v>5</v>
      </c>
      <c r="B29" s="19">
        <v>0.81220183486238529</v>
      </c>
      <c r="C29" s="19">
        <v>-0.14220183486238525</v>
      </c>
    </row>
    <row r="30" spans="1:9" x14ac:dyDescent="0.35">
      <c r="A30" s="19">
        <v>6</v>
      </c>
      <c r="B30" s="19">
        <v>0.81220183486238529</v>
      </c>
      <c r="C30" s="19">
        <v>-1.2201834862385241E-2</v>
      </c>
    </row>
    <row r="31" spans="1:9" x14ac:dyDescent="0.35">
      <c r="A31" s="19">
        <v>7</v>
      </c>
      <c r="B31" s="19">
        <v>0.81220183486238529</v>
      </c>
      <c r="C31" s="19">
        <v>2.7798165137614683E-2</v>
      </c>
    </row>
    <row r="32" spans="1:9" x14ac:dyDescent="0.35">
      <c r="A32" s="19">
        <v>8</v>
      </c>
      <c r="B32" s="19">
        <v>0.81220183486238529</v>
      </c>
      <c r="C32" s="19">
        <v>5.779816513761471E-2</v>
      </c>
    </row>
    <row r="33" spans="1:3" x14ac:dyDescent="0.35">
      <c r="A33" s="19">
        <v>9</v>
      </c>
      <c r="B33" s="19">
        <v>0.72783256880733949</v>
      </c>
      <c r="C33" s="19">
        <v>2.1674311926604961E-3</v>
      </c>
    </row>
    <row r="34" spans="1:3" x14ac:dyDescent="0.35">
      <c r="A34" s="19">
        <v>10</v>
      </c>
      <c r="B34" s="19">
        <v>0.72783256880733949</v>
      </c>
      <c r="C34" s="19">
        <v>2.1674311926604961E-3</v>
      </c>
    </row>
    <row r="35" spans="1:3" x14ac:dyDescent="0.35">
      <c r="A35" s="19">
        <v>11</v>
      </c>
      <c r="B35" s="19">
        <v>0.72783256880733949</v>
      </c>
      <c r="C35" s="19">
        <v>8.2167431192660567E-2</v>
      </c>
    </row>
    <row r="36" spans="1:3" ht="15" thickBot="1" x14ac:dyDescent="0.4">
      <c r="A36" s="20">
        <v>12</v>
      </c>
      <c r="B36" s="20">
        <v>0.72783256880733949</v>
      </c>
      <c r="C36" s="20">
        <v>-5.7832568807339446E-2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B2C9-3B09-4477-9B99-725EC36FE8C2}">
  <dimension ref="A1:I36"/>
  <sheetViews>
    <sheetView workbookViewId="0">
      <selection activeCell="E19" sqref="E19"/>
    </sheetView>
  </sheetViews>
  <sheetFormatPr baseColWidth="10" defaultRowHeight="14.5" x14ac:dyDescent="0.35"/>
  <sheetData>
    <row r="1" spans="1:9" x14ac:dyDescent="0.35">
      <c r="A1" t="s">
        <v>10</v>
      </c>
    </row>
    <row r="2" spans="1:9" ht="15" thickBot="1" x14ac:dyDescent="0.4"/>
    <row r="3" spans="1:9" x14ac:dyDescent="0.35">
      <c r="A3" s="22" t="s">
        <v>11</v>
      </c>
      <c r="B3" s="22"/>
    </row>
    <row r="4" spans="1:9" x14ac:dyDescent="0.35">
      <c r="A4" s="19" t="s">
        <v>12</v>
      </c>
      <c r="B4" s="19">
        <v>0.23651524331556628</v>
      </c>
    </row>
    <row r="5" spans="1:9" x14ac:dyDescent="0.35">
      <c r="A5" s="19" t="s">
        <v>13</v>
      </c>
      <c r="B5" s="19">
        <v>5.5939460320621519E-2</v>
      </c>
    </row>
    <row r="6" spans="1:9" x14ac:dyDescent="0.35">
      <c r="A6" s="19" t="s">
        <v>13</v>
      </c>
      <c r="B6" s="19">
        <v>-3.8466593647316326E-2</v>
      </c>
    </row>
    <row r="7" spans="1:9" x14ac:dyDescent="0.35">
      <c r="A7" s="19" t="s">
        <v>14</v>
      </c>
      <c r="B7" s="19">
        <v>8.8887569434651523E-2</v>
      </c>
    </row>
    <row r="8" spans="1:9" ht="15" thickBot="1" x14ac:dyDescent="0.4">
      <c r="A8" s="20" t="s">
        <v>15</v>
      </c>
      <c r="B8" s="20">
        <v>12</v>
      </c>
    </row>
    <row r="10" spans="1:9" ht="15" thickBot="1" x14ac:dyDescent="0.4">
      <c r="A10" t="s">
        <v>16</v>
      </c>
    </row>
    <row r="11" spans="1:9" x14ac:dyDescent="0.35">
      <c r="A11" s="21"/>
      <c r="B11" s="21" t="s">
        <v>21</v>
      </c>
      <c r="C11" s="21" t="s">
        <v>22</v>
      </c>
      <c r="D11" s="21" t="s">
        <v>23</v>
      </c>
      <c r="E11" s="21" t="s">
        <v>24</v>
      </c>
      <c r="F11" s="21" t="s">
        <v>25</v>
      </c>
    </row>
    <row r="12" spans="1:9" x14ac:dyDescent="0.35">
      <c r="A12" s="19" t="s">
        <v>17</v>
      </c>
      <c r="B12" s="19">
        <v>1</v>
      </c>
      <c r="C12" s="19">
        <v>4.6816666666666812E-3</v>
      </c>
      <c r="D12" s="19">
        <v>4.6816666666666812E-3</v>
      </c>
      <c r="E12" s="19">
        <v>0.5925410285617877</v>
      </c>
      <c r="F12" s="19">
        <v>0.45923541453435324</v>
      </c>
    </row>
    <row r="13" spans="1:9" x14ac:dyDescent="0.35">
      <c r="A13" s="19" t="s">
        <v>18</v>
      </c>
      <c r="B13" s="19">
        <v>10</v>
      </c>
      <c r="C13" s="19">
        <v>7.9009999999999955E-2</v>
      </c>
      <c r="D13" s="19">
        <v>7.9009999999999948E-3</v>
      </c>
      <c r="E13" s="19"/>
      <c r="F13" s="19"/>
    </row>
    <row r="14" spans="1:9" ht="15" thickBot="1" x14ac:dyDescent="0.4">
      <c r="A14" s="20" t="s">
        <v>19</v>
      </c>
      <c r="B14" s="20">
        <v>11</v>
      </c>
      <c r="C14" s="20">
        <v>8.3691666666666636E-2</v>
      </c>
      <c r="D14" s="20"/>
      <c r="E14" s="20"/>
      <c r="F14" s="20"/>
    </row>
    <row r="15" spans="1:9" ht="15" thickBot="1" x14ac:dyDescent="0.4"/>
    <row r="16" spans="1:9" x14ac:dyDescent="0.35">
      <c r="A16" s="21"/>
      <c r="B16" s="21" t="s">
        <v>26</v>
      </c>
      <c r="C16" s="21" t="s">
        <v>14</v>
      </c>
      <c r="D16" s="21" t="s">
        <v>27</v>
      </c>
      <c r="E16" s="21" t="s">
        <v>28</v>
      </c>
      <c r="F16" s="21" t="s">
        <v>29</v>
      </c>
      <c r="G16" s="21" t="s">
        <v>30</v>
      </c>
      <c r="H16" s="21" t="s">
        <v>31</v>
      </c>
      <c r="I16" s="21" t="s">
        <v>32</v>
      </c>
    </row>
    <row r="17" spans="1:9" x14ac:dyDescent="0.35">
      <c r="A17" s="19" t="s">
        <v>20</v>
      </c>
      <c r="B17" s="19">
        <v>0.7423333333333334</v>
      </c>
      <c r="C17" s="19">
        <v>8.4326152526959255E-2</v>
      </c>
      <c r="D17" s="19">
        <v>8.8031211087925278</v>
      </c>
      <c r="E17" s="19">
        <v>5.0462729608697034E-6</v>
      </c>
      <c r="F17" s="19">
        <v>0.55444295664949494</v>
      </c>
      <c r="G17" s="19">
        <v>0.93022371001717186</v>
      </c>
      <c r="H17" s="19">
        <v>0.55444295664949494</v>
      </c>
      <c r="I17" s="19">
        <v>0.93022371001717186</v>
      </c>
    </row>
    <row r="18" spans="1:9" ht="15" thickBot="1" x14ac:dyDescent="0.4">
      <c r="A18" s="20" t="s">
        <v>33</v>
      </c>
      <c r="B18" s="20">
        <v>1.7666666666666668E-6</v>
      </c>
      <c r="C18" s="20">
        <v>2.2950671740350718E-6</v>
      </c>
      <c r="D18" s="20">
        <v>0.76976686637045233</v>
      </c>
      <c r="E18" s="20">
        <v>0.4592354145343539</v>
      </c>
      <c r="F18" s="20">
        <v>-3.3470616717192208E-6</v>
      </c>
      <c r="G18" s="20">
        <v>6.8803950050525548E-6</v>
      </c>
      <c r="H18" s="20">
        <v>-3.3470616717192208E-6</v>
      </c>
      <c r="I18" s="20">
        <v>6.8803950050525548E-6</v>
      </c>
    </row>
    <row r="22" spans="1:9" x14ac:dyDescent="0.35">
      <c r="A22" t="s">
        <v>34</v>
      </c>
    </row>
    <row r="23" spans="1:9" ht="15" thickBot="1" x14ac:dyDescent="0.4"/>
    <row r="24" spans="1:9" x14ac:dyDescent="0.35">
      <c r="A24" s="21" t="s">
        <v>35</v>
      </c>
      <c r="B24" s="21" t="s">
        <v>36</v>
      </c>
      <c r="C24" s="21" t="s">
        <v>18</v>
      </c>
    </row>
    <row r="25" spans="1:9" x14ac:dyDescent="0.35">
      <c r="A25" s="19">
        <v>1</v>
      </c>
      <c r="B25" s="19">
        <v>0.77766666666666673</v>
      </c>
      <c r="C25" s="19">
        <v>6.2333333333333241E-2</v>
      </c>
    </row>
    <row r="26" spans="1:9" x14ac:dyDescent="0.35">
      <c r="A26" s="19">
        <v>2</v>
      </c>
      <c r="B26" s="19">
        <v>0.79533333333333345</v>
      </c>
      <c r="C26" s="19">
        <v>0.1446666666666665</v>
      </c>
    </row>
    <row r="27" spans="1:9" x14ac:dyDescent="0.35">
      <c r="A27" s="19">
        <v>3</v>
      </c>
      <c r="B27" s="19">
        <v>0.81300000000000006</v>
      </c>
      <c r="C27" s="19">
        <v>8.6999999999999966E-2</v>
      </c>
    </row>
    <row r="28" spans="1:9" x14ac:dyDescent="0.35">
      <c r="A28" s="19">
        <v>4</v>
      </c>
      <c r="B28" s="19">
        <v>0.83066666666666678</v>
      </c>
      <c r="C28" s="19">
        <v>1.9333333333333202E-2</v>
      </c>
    </row>
    <row r="29" spans="1:9" x14ac:dyDescent="0.35">
      <c r="A29" s="19">
        <v>5</v>
      </c>
      <c r="B29" s="19">
        <v>0.77766666666666673</v>
      </c>
      <c r="C29" s="19">
        <v>-0.10766666666666669</v>
      </c>
    </row>
    <row r="30" spans="1:9" x14ac:dyDescent="0.35">
      <c r="A30" s="19">
        <v>6</v>
      </c>
      <c r="B30" s="19">
        <v>0.79533333333333345</v>
      </c>
      <c r="C30" s="19">
        <v>4.6666666666665968E-3</v>
      </c>
    </row>
    <row r="31" spans="1:9" x14ac:dyDescent="0.35">
      <c r="A31" s="19">
        <v>7</v>
      </c>
      <c r="B31" s="19">
        <v>0.81300000000000006</v>
      </c>
      <c r="C31" s="19">
        <v>2.6999999999999913E-2</v>
      </c>
    </row>
    <row r="32" spans="1:9" x14ac:dyDescent="0.35">
      <c r="A32" s="19">
        <v>8</v>
      </c>
      <c r="B32" s="19">
        <v>0.83066666666666678</v>
      </c>
      <c r="C32" s="19">
        <v>3.933333333333322E-2</v>
      </c>
    </row>
    <row r="33" spans="1:3" x14ac:dyDescent="0.35">
      <c r="A33" s="19">
        <v>9</v>
      </c>
      <c r="B33" s="19">
        <v>0.77766666666666673</v>
      </c>
      <c r="C33" s="19">
        <v>-4.7666666666666746E-2</v>
      </c>
    </row>
    <row r="34" spans="1:3" x14ac:dyDescent="0.35">
      <c r="A34" s="19">
        <v>10</v>
      </c>
      <c r="B34" s="19">
        <v>0.79533333333333345</v>
      </c>
      <c r="C34" s="19">
        <v>-6.5333333333333465E-2</v>
      </c>
    </row>
    <row r="35" spans="1:3" x14ac:dyDescent="0.35">
      <c r="A35" s="19">
        <v>11</v>
      </c>
      <c r="B35" s="19">
        <v>0.81300000000000006</v>
      </c>
      <c r="C35" s="19">
        <v>-3.0000000000000027E-3</v>
      </c>
    </row>
    <row r="36" spans="1:3" ht="15" thickBot="1" x14ac:dyDescent="0.4">
      <c r="A36" s="20">
        <v>12</v>
      </c>
      <c r="B36" s="20">
        <v>0.83066666666666678</v>
      </c>
      <c r="C36" s="20">
        <v>-0.16066666666666674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1461-30C3-44A7-9C0A-B208A0A38E20}">
  <dimension ref="A1:I36"/>
  <sheetViews>
    <sheetView workbookViewId="0">
      <selection activeCell="E18" sqref="E18"/>
    </sheetView>
  </sheetViews>
  <sheetFormatPr baseColWidth="10" defaultRowHeight="14.5" x14ac:dyDescent="0.35"/>
  <sheetData>
    <row r="1" spans="1:9" x14ac:dyDescent="0.35">
      <c r="A1" t="s">
        <v>10</v>
      </c>
    </row>
    <row r="2" spans="1:9" ht="15" thickBot="1" x14ac:dyDescent="0.4"/>
    <row r="3" spans="1:9" x14ac:dyDescent="0.35">
      <c r="A3" s="22" t="s">
        <v>11</v>
      </c>
      <c r="B3" s="22"/>
    </row>
    <row r="4" spans="1:9" x14ac:dyDescent="0.35">
      <c r="A4" s="19" t="s">
        <v>12</v>
      </c>
      <c r="B4" s="19">
        <v>0.74224485562009934</v>
      </c>
    </row>
    <row r="5" spans="1:9" x14ac:dyDescent="0.35">
      <c r="A5" s="19" t="s">
        <v>13</v>
      </c>
      <c r="B5" s="19">
        <v>0.55092742569450215</v>
      </c>
    </row>
    <row r="6" spans="1:9" x14ac:dyDescent="0.35">
      <c r="A6" s="19" t="s">
        <v>13</v>
      </c>
      <c r="B6" s="19">
        <v>0.50602016826395235</v>
      </c>
    </row>
    <row r="7" spans="1:9" x14ac:dyDescent="0.35">
      <c r="A7" s="19" t="s">
        <v>14</v>
      </c>
      <c r="B7" s="19">
        <v>5.4523943748617403E-2</v>
      </c>
    </row>
    <row r="8" spans="1:9" ht="15" thickBot="1" x14ac:dyDescent="0.4">
      <c r="A8" s="20" t="s">
        <v>15</v>
      </c>
      <c r="B8" s="20">
        <v>12</v>
      </c>
    </row>
    <row r="10" spans="1:9" ht="15" thickBot="1" x14ac:dyDescent="0.4">
      <c r="A10" t="s">
        <v>16</v>
      </c>
    </row>
    <row r="11" spans="1:9" x14ac:dyDescent="0.35">
      <c r="A11" s="21"/>
      <c r="B11" s="21" t="s">
        <v>21</v>
      </c>
      <c r="C11" s="21" t="s">
        <v>22</v>
      </c>
      <c r="D11" s="21" t="s">
        <v>23</v>
      </c>
      <c r="E11" s="21" t="s">
        <v>24</v>
      </c>
      <c r="F11" s="21" t="s">
        <v>25</v>
      </c>
    </row>
    <row r="12" spans="1:9" x14ac:dyDescent="0.35">
      <c r="A12" s="19" t="s">
        <v>17</v>
      </c>
      <c r="B12" s="19">
        <v>1</v>
      </c>
      <c r="C12" s="19">
        <v>3.6471395580976021E-2</v>
      </c>
      <c r="D12" s="19">
        <v>3.6471395580976021E-2</v>
      </c>
      <c r="E12" s="19">
        <v>12.268115605735337</v>
      </c>
      <c r="F12" s="19">
        <v>5.701810476815815E-3</v>
      </c>
    </row>
    <row r="13" spans="1:9" x14ac:dyDescent="0.35">
      <c r="A13" s="19" t="s">
        <v>18</v>
      </c>
      <c r="B13" s="19">
        <v>10</v>
      </c>
      <c r="C13" s="19">
        <v>2.9728604419023946E-2</v>
      </c>
      <c r="D13" s="19">
        <v>2.9728604419023948E-3</v>
      </c>
      <c r="E13" s="19"/>
      <c r="F13" s="19"/>
    </row>
    <row r="14" spans="1:9" ht="15" thickBot="1" x14ac:dyDescent="0.4">
      <c r="A14" s="20" t="s">
        <v>19</v>
      </c>
      <c r="B14" s="20">
        <v>11</v>
      </c>
      <c r="C14" s="20">
        <v>6.6199999999999967E-2</v>
      </c>
      <c r="D14" s="20"/>
      <c r="E14" s="20"/>
      <c r="F14" s="20"/>
    </row>
    <row r="15" spans="1:9" ht="15" thickBot="1" x14ac:dyDescent="0.4"/>
    <row r="16" spans="1:9" x14ac:dyDescent="0.35">
      <c r="A16" s="21"/>
      <c r="B16" s="21" t="s">
        <v>26</v>
      </c>
      <c r="C16" s="21" t="s">
        <v>14</v>
      </c>
      <c r="D16" s="21" t="s">
        <v>27</v>
      </c>
      <c r="E16" s="21" t="s">
        <v>28</v>
      </c>
      <c r="F16" s="21" t="s">
        <v>29</v>
      </c>
      <c r="G16" s="21" t="s">
        <v>30</v>
      </c>
      <c r="H16" s="21" t="s">
        <v>31</v>
      </c>
      <c r="I16" s="21" t="s">
        <v>32</v>
      </c>
    </row>
    <row r="17" spans="1:9" x14ac:dyDescent="0.35">
      <c r="A17" s="19" t="s">
        <v>20</v>
      </c>
      <c r="B17" s="19">
        <v>1.0735378520200703E-17</v>
      </c>
      <c r="C17" s="19">
        <v>1.5739706800272136E-2</v>
      </c>
      <c r="D17" s="19">
        <v>6.8205708380889854E-16</v>
      </c>
      <c r="E17" s="19">
        <v>1</v>
      </c>
      <c r="F17" s="19">
        <v>-3.5070252240558902E-2</v>
      </c>
      <c r="G17" s="19">
        <v>3.507025224055893E-2</v>
      </c>
      <c r="H17" s="19">
        <v>-3.5070252240558902E-2</v>
      </c>
      <c r="I17" s="19">
        <v>3.507025224055893E-2</v>
      </c>
    </row>
    <row r="18" spans="1:9" ht="15" thickBot="1" x14ac:dyDescent="0.4">
      <c r="A18" s="20" t="s">
        <v>33</v>
      </c>
      <c r="B18" s="20">
        <v>-2.014493612635713E-3</v>
      </c>
      <c r="C18" s="20">
        <v>5.7514449170427472E-4</v>
      </c>
      <c r="D18" s="20">
        <v>-3.5025869876043543</v>
      </c>
      <c r="E18" s="20">
        <v>5.7018104768158089E-3</v>
      </c>
      <c r="F18" s="20">
        <v>-3.2959954001079051E-3</v>
      </c>
      <c r="G18" s="20">
        <v>-7.3299182516352096E-4</v>
      </c>
      <c r="H18" s="20">
        <v>-3.2959954001079051E-3</v>
      </c>
      <c r="I18" s="20">
        <v>-7.3299182516352096E-4</v>
      </c>
    </row>
    <row r="22" spans="1:9" x14ac:dyDescent="0.35">
      <c r="A22" t="s">
        <v>34</v>
      </c>
    </row>
    <row r="23" spans="1:9" ht="15" thickBot="1" x14ac:dyDescent="0.4"/>
    <row r="24" spans="1:9" x14ac:dyDescent="0.35">
      <c r="A24" s="21" t="s">
        <v>35</v>
      </c>
      <c r="B24" s="21" t="s">
        <v>36</v>
      </c>
      <c r="C24" s="21" t="s">
        <v>18</v>
      </c>
    </row>
    <row r="25" spans="1:9" x14ac:dyDescent="0.35">
      <c r="A25" s="19">
        <v>1</v>
      </c>
      <c r="B25" s="19">
        <v>-1.4974133921443769E-2</v>
      </c>
      <c r="C25" s="19">
        <v>-7.8359199411889499E-2</v>
      </c>
    </row>
    <row r="26" spans="1:9" x14ac:dyDescent="0.35">
      <c r="A26" s="19">
        <v>2</v>
      </c>
      <c r="B26" s="19">
        <v>3.1714172943724155E-3</v>
      </c>
      <c r="C26" s="19">
        <v>7.349524937229425E-2</v>
      </c>
    </row>
    <row r="27" spans="1:9" x14ac:dyDescent="0.35">
      <c r="A27" s="19">
        <v>3</v>
      </c>
      <c r="B27" s="19">
        <v>1.1802716627071389E-2</v>
      </c>
      <c r="C27" s="19">
        <v>4.8639500395953293E-3</v>
      </c>
    </row>
    <row r="28" spans="1:9" x14ac:dyDescent="0.35">
      <c r="A28" s="19">
        <v>4</v>
      </c>
      <c r="B28" s="19">
        <v>-3.4222956139113449E-2</v>
      </c>
      <c r="C28" s="19">
        <v>-8.2443710527553254E-2</v>
      </c>
    </row>
    <row r="29" spans="1:9" x14ac:dyDescent="0.35">
      <c r="A29" s="19">
        <v>5</v>
      </c>
      <c r="B29" s="19">
        <v>-1.5287320528421429E-3</v>
      </c>
      <c r="C29" s="19">
        <v>2.4862065386175348E-2</v>
      </c>
    </row>
    <row r="30" spans="1:9" x14ac:dyDescent="0.35">
      <c r="A30" s="19">
        <v>6</v>
      </c>
      <c r="B30" s="19">
        <v>3.5751688191955622E-2</v>
      </c>
      <c r="C30" s="19">
        <v>5.7581645141377646E-2</v>
      </c>
    </row>
    <row r="31" spans="1:9" x14ac:dyDescent="0.35">
      <c r="A31" s="19">
        <v>7</v>
      </c>
      <c r="B31" s="19">
        <v>-6.3271551134597911E-2</v>
      </c>
      <c r="C31" s="19">
        <v>1.3271551134597867E-2</v>
      </c>
    </row>
    <row r="32" spans="1:9" x14ac:dyDescent="0.35">
      <c r="A32" s="19">
        <v>8</v>
      </c>
      <c r="B32" s="19">
        <v>-7.5198360568207688E-3</v>
      </c>
      <c r="C32" s="19">
        <v>1.7519836056820778E-2</v>
      </c>
    </row>
    <row r="33" spans="1:3" x14ac:dyDescent="0.35">
      <c r="A33" s="19">
        <v>9</v>
      </c>
      <c r="B33" s="19">
        <v>7.0791387191418684E-2</v>
      </c>
      <c r="C33" s="19">
        <v>-3.0791387191418759E-2</v>
      </c>
    </row>
    <row r="34" spans="1:3" x14ac:dyDescent="0.35">
      <c r="A34" s="19">
        <v>10</v>
      </c>
      <c r="B34" s="19">
        <v>-0.10287992019815752</v>
      </c>
      <c r="C34" s="19">
        <v>4.9546586864824285E-2</v>
      </c>
    </row>
    <row r="35" spans="1:3" x14ac:dyDescent="0.35">
      <c r="A35" s="19">
        <v>11</v>
      </c>
      <c r="B35" s="19">
        <v>-1.4508517297776601E-2</v>
      </c>
      <c r="C35" s="19">
        <v>-5.882481603555665E-2</v>
      </c>
    </row>
    <row r="36" spans="1:3" ht="15" thickBot="1" x14ac:dyDescent="0.4">
      <c r="A36" s="20">
        <v>12</v>
      </c>
      <c r="B36" s="20">
        <v>0.11738843749593406</v>
      </c>
      <c r="C36" s="20">
        <v>9.2782291707326492E-3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Feuil7</vt:lpstr>
      <vt:lpstr>Feuil1</vt:lpstr>
      <vt:lpstr>Feuil2</vt:lpstr>
      <vt:lpstr>Feuil3</vt:lpstr>
      <vt:lpstr>Feuil4</vt:lpstr>
      <vt:lpstr>Feuil5</vt:lpstr>
      <vt:lpstr>Feuil6</vt:lpstr>
    </vt:vector>
  </TitlesOfParts>
  <Company>ONERA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Bastien</dc:creator>
  <cp:lastModifiedBy>HUBERT Bastien</cp:lastModifiedBy>
  <dcterms:created xsi:type="dcterms:W3CDTF">2024-02-15T09:35:59Z</dcterms:created>
  <dcterms:modified xsi:type="dcterms:W3CDTF">2024-03-13T17:43:32Z</dcterms:modified>
</cp:coreProperties>
</file>